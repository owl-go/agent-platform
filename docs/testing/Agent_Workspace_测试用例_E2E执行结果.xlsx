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6b643f917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9d1a4fb0022438a"/>
    <x:sheet xmlns:r="http://schemas.openxmlformats.org/officeDocument/2006/relationships" name="覆盖与进度" sheetId="2" r:id="Rf40368102c314273"/>
    <x:sheet xmlns:r="http://schemas.openxmlformats.org/officeDocument/2006/relationships" name="测试用例" sheetId="3" r:id="Rdbf6af6733224d92"/>
    <x:sheet xmlns:r="http://schemas.openxmlformats.org/officeDocument/2006/relationships" name="测试数据" sheetId="4" r:id="R79e31442cd0c4b9d"/>
    <x:sheet xmlns:r="http://schemas.openxmlformats.org/officeDocument/2006/relationships" name="接口清单" sheetId="5" r:id="R1f34842682a24518"/>
    <x:sheet xmlns:r="http://schemas.openxmlformats.org/officeDocument/2006/relationships" name="验收边界与依据" sheetId="6" r:id="R2fde737c6fa6449f"/>
    <x:sheet xmlns:r="http://schemas.openxmlformats.org/officeDocument/2006/relationships" name="E2E执行" sheetId="7" r:id="R32f0c45c7e50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0.000"/>
    <x:numFmt numFmtId="203" formatCode="0.0"/>
  </x:numFmts>
  <x:fonts count="10">
    <x:font>
      <x:sz val="11"/>
      <x:name val="Carlito"/>
    </x:font>
    <x:font>
      <x:sz val="11"/>
      <x:color rgb="FF203047"/>
      <x:name val="Helvetica Neue"/>
    </x:font>
    <x:font>
      <x:b/>
      <x:sz val="18"/>
      <x:color rgb="FF203047"/>
      <x:name val="Helvetica Neue"/>
    </x:font>
    <x:font>
      <x:sz val="10"/>
      <x:color rgb="FF59687B"/>
      <x:name val="Helvetica Neue"/>
    </x:font>
    <x:font>
      <x:b/>
      <x:sz val="11"/>
      <x:color rgb="FFFFFFFF"/>
      <x:name val="Helvetica Neue"/>
    </x:font>
    <x:font>
      <x:b/>
      <x:sz val="11"/>
      <x:color rgb="FF203047"/>
      <x:name val="Helvetica Neue"/>
    </x:font>
    <x:font>
      <x:sz val="10"/>
      <x:color rgb="FF263B53"/>
      <x:name val="Helvetica Neue"/>
    </x:font>
    <x:font>
      <x:b/>
      <x:sz val="16"/>
      <x:color rgb="FF263B53"/>
      <x:name val="Helvetica Neue"/>
    </x:font>
    <x:font>
      <x:sz val="10"/>
      <x:color rgb="FF6B7785"/>
      <x:name val="Helvetica Neue"/>
    </x:font>
    <x:font>
      <x:b/>
      <x:sz val="10"/>
      <x:color rgb="FFFFFFFF"/>
      <x:name val="Helvetica Neue"/>
    </x:font>
  </x:fonts>
  <x:fills count="7">
    <x:fill>
      <x:patternFill patternType="none"/>
    </x:fill>
    <x:fill>
      <x:patternFill patternType="gray125"/>
    </x:fill>
    <x:fill>
      <x:patternFill patternType="solid">
        <x:fgColor rgb="FF283E5C"/>
      </x:patternFill>
    </x:fill>
    <x:fill>
      <x:patternFill patternType="solid">
        <x:fgColor rgb="FFFFF5D9"/>
      </x:patternFill>
    </x:fill>
    <x:fill>
      <x:patternFill patternType="solid">
        <x:fgColor rgb="FFE7EDF4"/>
      </x:patternFill>
    </x:fill>
    <x:fill>
      <x:patternFill patternType="solid">
        <x:fgColor rgb="FF263F5C"/>
      </x:patternFill>
    </x:fill>
    <x:fill>
      <x:patternFill patternType="solid">
        <x:fgColor rgb="FFEAF3F7"/>
      </x:patternFill>
    </x:fill>
  </x:fills>
  <x:borders count="2">
    <x:border/>
    <x:border>
      <x:bottom style="thin">
        <x:color rgb="FFDDE4E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202" fontId="6" fillId="6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9" fillId="5" borderId="0" xfId="0" applyNumberFormat="1" applyFont="1" applyFill="1" applyBorder="1"/>
    <x:xf numFmtId="203" fontId="6" fillId="0" borderId="0" xfId="0" applyNumberFormat="1" applyFont="1" applyFill="1" applyBorder="1"/>
  </x:cellXfs>
  <x:cellStyles count="1">
    <x:cellStyle name="Normal" xfId="0"/>
  </x:cellStyles>
  <x:dxfs count="7">
    <x:dxf>
      <x:fill>
        <x:patternFill>
          <x:bgColor rgb="FFFDE8E7"/>
        </x:patternFill>
      </x:fill>
    </x:dxf>
    <x:dxf>
      <x:fill>
        <x:patternFill>
          <x:bgColor rgb="FFE8F2E9"/>
        </x:patternFill>
      </x:fill>
    </x:dxf>
    <x:dxf>
      <x:fill>
        <x:patternFill>
          <x:bgColor rgb="FFFFF0CC"/>
        </x:patternFill>
      </x:fill>
    </x:dxf>
    <x:dxf>
      <x:font>
        <x:b/>
        <x:color rgb="FFA63131"/>
      </x:font>
    </x:dxf>
    <x:dxf>
      <x:font>
        <x:b/>
        <x:color rgb="FF245C38"/>
      </x:font>
      <x:fill>
        <x:patternFill patternType="solid">
          <x:bgColor rgb="FFE4F1E7"/>
        </x:patternFill>
      </x:fill>
    </x:dxf>
    <x:dxf>
      <x:font>
        <x:b/>
        <x:color rgb="FF9D2C27"/>
      </x:font>
      <x:fill>
        <x:patternFill patternType="solid">
          <x:bgColor rgb="FFFBE1DD"/>
        </x:patternFill>
      </x:fill>
    </x:dxf>
    <x:dxf>
      <x:font>
        <x:b/>
        <x:color rgb="FF805F18"/>
      </x:font>
      <x:fill>
        <x:patternFill patternType="solid">
          <x:bgColor rgb="FFFFF1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3993883f041e9" /><Relationship Type="http://schemas.openxmlformats.org/officeDocument/2006/relationships/theme" Target="/xl/theme/theme1.xml" Id="Rfee6fa060fc44e20" /><Relationship Type="http://schemas.openxmlformats.org/officeDocument/2006/relationships/sharedStrings" Target="/xl/sharedStrings.xml" Id="R2e296de55eff4663" /><Relationship Type="http://schemas.openxmlformats.org/officeDocument/2006/relationships/worksheet" Target="/xl/worksheets/sheet1.xml" Id="R79d1a4fb0022438a" /><Relationship Type="http://schemas.openxmlformats.org/officeDocument/2006/relationships/worksheet" Target="/xl/worksheets/sheet2.xml" Id="Rf40368102c314273" /><Relationship Type="http://schemas.openxmlformats.org/officeDocument/2006/relationships/worksheet" Target="/xl/worksheets/sheet3.xml" Id="Rdbf6af6733224d92" /><Relationship Type="http://schemas.openxmlformats.org/officeDocument/2006/relationships/worksheet" Target="/xl/worksheets/sheet4.xml" Id="R79e31442cd0c4b9d" /><Relationship Type="http://schemas.openxmlformats.org/officeDocument/2006/relationships/worksheet" Target="/xl/worksheets/sheet5.xml" Id="R1f34842682a24518" /><Relationship Type="http://schemas.openxmlformats.org/officeDocument/2006/relationships/worksheet" Target="/xl/worksheets/sheet6.xml" Id="R2fde737c6fa6449f" /><Relationship Type="http://schemas.openxmlformats.org/officeDocument/2006/relationships/worksheet" Target="/xl/worksheets/sheet7.xml" Id="R32f0c45c7e504976" /></Relationships>
</file>

<file path=xl/tables/table1.xml><?xml version="1.0" encoding="utf-8"?>
<x:table xmlns:x="http://schemas.openxmlformats.org/spreadsheetml/2006/main" id="1" name="GuideTable" displayName="GuideTable" ref="A4:B27" headerRowCount="1" totalsRowCount="0" totalsRowShown="0">
  <x:autoFilter ref="A4:B27"/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CoverageTable" displayName="CoverageTable" ref="A4:M26" headerRowCount="1" totalsRowCount="0" totalsRowShown="0">
  <x:autoFilter ref="A4:M26"/>
  <x:tableColumns count="13">
    <x:tableColumn id="1" name="模块代码"/>
    <x:tableColumn id="2" name="功能模块"/>
    <x:tableColumn id="3" name="用例总数"/>
    <x:tableColumn id="4" name="P0"/>
    <x:tableColumn id="5" name="P1"/>
    <x:tableColumn id="6" name="P2"/>
    <x:tableColumn id="7" name="通过"/>
    <x:tableColumn id="8" name="失败"/>
    <x:tableColumn id="9" name="阻塞"/>
    <x:tableColumn id="10" name="不适用"/>
    <x:tableColumn id="11" name="未执行"/>
    <x:tableColumn id="12" name="完成率"/>
    <x:tableColumn id="13" name="依据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asesTable" displayName="CasesTable" ref="A4:P399" headerRowCount="1" totalsRowCount="0" totalsRowShown="0">
  <x:autoFilter ref="A4:P399"/>
  <x:tableColumns count="16">
    <x:tableColumn id="1" name="用例编号"/>
    <x:tableColumn id="2" name="功能模块"/>
    <x:tableColumn id="3" name="用例标题"/>
    <x:tableColumn id="4" name="优先级"/>
    <x:tableColumn id="5" name="测试类型"/>
    <x:tableColumn id="6" name="执行环境"/>
    <x:tableColumn id="7" name="前置条件"/>
    <x:tableColumn id="8" name="测试数据"/>
    <x:tableColumn id="9" name="操作步骤"/>
    <x:tableColumn id="10" name="预期结果"/>
    <x:tableColumn id="11" name="依据编号"/>
    <x:tableColumn id="12" name="实现边界"/>
    <x:tableColumn id="13" name="执行状态"/>
    <x:tableColumn id="14" name="实际结果"/>
    <x:tableColumn id="15" name="缺陷编号"/>
    <x:tableColumn id="16" name="执行人/日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FixtureTable" displayName="FixtureTable" ref="A4:E19" headerRowCount="1" totalsRowCount="0" totalsRowShown="0">
  <x:autoFilter ref="A4:E19"/>
  <x:tableColumns count="5">
    <x:tableColumn id="1" name="数据编号"/>
    <x:tableColumn id="2" name="数据类别"/>
    <x:tableColumn id="3" name="准备内容"/>
    <x:tableColumn id="4" name="核对要点"/>
    <x:tableColumn id="5" name="清理与注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EndpointsTable" displayName="EndpointsTable" ref="A4:K107" headerRowCount="1" totalsRowCount="0" totalsRowShown="0">
  <x:autoFilter ref="A4:K107"/>
  <x:tableColumns count="11">
    <x:tableColumn id="1" name="接口编号"/>
    <x:tableColumn id="2" name="功能模块"/>
    <x:tableColumn id="3" name="方法"/>
    <x:tableColumn id="4" name="路径"/>
    <x:tableColumn id="5" name="RPC或处理器"/>
    <x:tableColumn id="6" name="认证与权限"/>
    <x:tableColumn id="7" name="代表用例"/>
    <x:tableColumn id="8" name="关联场景"/>
    <x:tableColumn id="9" name="补充检查"/>
    <x:tableColumn id="10" name="执行状态"/>
    <x:tableColumn id="11" name="合同依据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ourcesTable" displayName="SourcesTable" ref="A4:H47" headerRowCount="1" totalsRowCount="0" totalsRowShown="0">
  <x:autoFilter ref="A4:H47"/>
  <x:tableColumns count="8">
    <x:tableColumn id="1" name="编号"/>
    <x:tableColumn id="2" name="类别"/>
    <x:tableColumn id="3" name="主题"/>
    <x:tableColumn id="4" name="关联用例"/>
    <x:tableColumn id="5" name="现状或依据说明"/>
    <x:tableColumn id="6" name="验收处理"/>
    <x:tableColumn id="7" name="依据编号"/>
    <x:tableColumn id="8" name="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2EExecutionCases" displayName="E2EExecutionCases" ref="A4:N48" headerRowCount="1" totalsRowCount="0" totalsRowShown="0">
  <x:tableColumns count="14">
    <x:tableColumn id="1" name="用例编号"/>
    <x:tableColumn id="2" name="关联原用例"/>
    <x:tableColumn id="3" name="执行类型"/>
    <x:tableColumn id="4" name="优先级"/>
    <x:tableColumn id="5" name="用例标题"/>
    <x:tableColumn id="6" name="前置条件"/>
    <x:tableColumn id="7" name="操作步骤"/>
    <x:tableColumn id="8" name="预期结果"/>
    <x:tableColumn id="9" name="执行状态"/>
    <x:tableColumn id="10" name="实际结果"/>
    <x:tableColumn id="11" name="缺陷编号"/>
    <x:tableColumn id="12" name="耗时（秒）"/>
    <x:tableColumn id="13" name="执行日期"/>
    <x:tableColumn id="14" name="验证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8aeaa574ea4c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7fcb2c0da246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f39085109e44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58888109e6946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6eb7e2e66640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666afb330f43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6f34b14727548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22" hidden="0" customWidth="1"/>
  </x:cols>
  <x:sheetData>
    <x:row r="1" ht="30" customHeight="1">
      <x:c r="A1" s="5" t="str">
        <x:v>Agent Workspace 测试用例</x:v>
      </x:c>
      <x:c r="B1" s="3"/>
    </x:row>
    <x:row r="2" ht="24" customHeight="1">
      <x:c r="A2" s="7" t="str">
        <x:v>版本基线 bb77a15 · 2026-09-06 · 测试设计，非通过报告</x:v>
      </x:c>
      <x:c r="B2" s="3"/>
    </x:row>
    <x:row r="3">
      <x:c r="A3" s="8"/>
      <x:c r="B3" s="8"/>
    </x:row>
    <x:row r="4" ht="32" customHeight="1">
      <x:c r="A4" s="11" t="str">
        <x:v>项目</x:v>
      </x:c>
      <x:c r="B4" s="11" t="str">
        <x:v>说明</x:v>
      </x:c>
    </x:row>
    <x:row r="5" ht="36" customHeight="1">
      <x:c r="A5" s="3" t="str">
        <x:v>项目</x:v>
      </x:c>
      <x:c r="B5" s="3" t="str">
        <x:v>Agent Workspace 当前功能测试用例</x:v>
      </x:c>
    </x:row>
    <x:row r="6" ht="36" customHeight="1">
      <x:c r="A6" s="3" t="str">
        <x:v>基线</x:v>
      </x:c>
      <x:c r="B6" s="3" t="str">
        <x:v>2026-09-06；bb77a15d8b0cf6d760bb2e84fc3a432f7717052f；以该提交对应实现和现行产品规则编写。</x:v>
      </x:c>
    </x:row>
    <x:row r="7" ht="36" customHeight="1">
      <x:c r="A7" s="3" t="str">
        <x:v>交付范围</x:v>
      </x:c>
      <x:c r="B7" s="3" t="str">
        <x:v>21个功能模块、395条详细用例；另附公开HTTP接口清单、测试数据、追溯依据与验收缺口。</x:v>
      </x:c>
    </x:row>
    <x:row r="8" ht="70" customHeight="1">
      <x:c r="A8" s="3" t="str">
        <x:v>执行状态</x:v>
      </x:c>
      <x:c r="B8" s="3" t="str">
        <x:v>本轮新增“E2E执行”：44 条记录，37 通过、3 失败、4 环境阻塞。原始 395 条用例只回填对应证据，部分覆盖不算整条通过。E2E 基线 e3bfc56，加开发代理修正；未验证生产 Runtime。</x:v>
      </x:c>
    </x:row>
    <x:row r="9" ht="36" customHeight="1">
      <x:c r="A9" s="3" t="str">
        <x:v>推荐顺序</x:v>
      </x:c>
      <x:c r="B9" s="3" t="str">
        <x:v>先搭建测试数据与身份 → 筛选P0完成关键链路和安全门禁 → 执行P1异常/边界 → 执行P2体验检查 → 补齐远端与Linux证据。</x:v>
      </x:c>
    </x:row>
    <x:row r="10" ht="42" customHeight="1">
      <x:c r="A10" s="3" t="str">
        <x:v>用例填写</x:v>
      </x:c>
      <x:c r="B10" s="3" t="str">
        <x:v>在“测试用例”填写执行状态、实际结果、缺陷编号、执行人/日期。每条含多组边界数据时逐组运行，任一失败即该条失败；实际结果注明具体数据组。</x:v>
      </x:c>
    </x:row>
    <x:row r="11" ht="36" customHeight="1">
      <x:c r="A11" s="3" t="str">
        <x:v>状态定义</x:v>
      </x:c>
      <x:c r="B11" s="3" t="str">
        <x:v>未执行=尚未开始；通过=全部步骤满足；失败=至少一项不符；阻塞=缺环境/依赖/实现；不适用=明确不在本次部署范围，必须写原因。</x:v>
      </x:c>
    </x:row>
    <x:row r="12" ht="36" customHeight="1">
      <x:c r="A12" s="3" t="str">
        <x:v>优先级</x:v>
      </x:c>
      <x:c r="B12" s="3" t="str">
        <x:v>P0：登录、执行、计费、权限、数据一致性及发布阻断项。P1：常见异常、边界、管理流程。P2：次要体验、样式与明确不提供的入口。</x:v>
      </x:c>
    </x:row>
    <x:row r="13" ht="42" customHeight="1">
      <x:c r="A13" s="3" t="str">
        <x:v>统计口径</x:v>
      </x:c>
      <x:c r="B13" s="3" t="str">
        <x:v>覆盖与进度按模块和优先级汇总。完成率=(通过+失败)/(总数-不适用)。阻塞不视为已完成；分母为0时显示0。飞书初始统计需确认公式已正常计算。</x:v>
      </x:c>
    </x:row>
    <x:row r="14" ht="42" customHeight="1">
      <x:c r="A14" s="3" t="str">
        <x:v>当前实现口径</x:v>
      </x:c>
      <x:c r="B14" s="3" t="str">
        <x:v>“实现路径存在”只表示发现相关入口/实现或测试，不保证本条每个断言已通过；验收发现差异登记缺陷。已知未完成或不支持的能力在“实现边界”列与边界表中指出。</x:v>
      </x:c>
    </x:row>
    <x:row r="15" ht="42" customHeight="1">
      <x:c r="A15" s="3" t="str">
        <x:v>真实模型判定</x:v>
      </x:c>
      <x:c r="B15" s="3" t="str">
        <x:v>对不确定的自然语言输出不比较固定句子；检查阶段数、资源、文件字节、状态与安全边界。精确计费、失败和时钟场景使用可控fake；真实模型另记录RepoDigest与协议。</x:v>
      </x:c>
    </x:row>
    <x:row r="16" ht="42" customHeight="1">
      <x:c r="A16" s="3" t="str">
        <x:v>多角色执行</x:v>
      </x:c>
      <x:c r="B16" s="3" t="str">
        <x:v>A/B是两个普通用户，Admin是bootstrap管理员。禁止复用同一浏览器认证上下文验证owner隔离。Workflow Token仅用于该Workflow的外部API。</x:v>
      </x:c>
    </x:row>
    <x:row r="17" ht="36" customHeight="1">
      <x:c r="A17" s="3" t="str">
        <x:v>文件边界单位</x:v>
      </x:c>
      <x:c r="B17" s="3" t="str">
        <x:v>附件100MiB=104857600字节；Skill包各阶段50MiB=52428800字节；Workspace1GiB=1073741824字节；内联预览1MiB=1048576字节。</x:v>
      </x:c>
    </x:row>
    <x:row r="18" ht="42" customHeight="1">
      <x:c r="A18" s="3" t="str">
        <x:v>计费单位</x:v>
      </x:c>
      <x:c r="B18" s="3" t="str">
        <x:v>Excel中的Credit例值用Credits。HTTP amount_hundredths以0.01 Credit为单位，multiplier_micros以百万分之一为单位，测试时不可混用。</x:v>
      </x:c>
    </x:row>
    <x:row r="19" ht="42" customHeight="1">
      <x:c r="A19" s="3" t="str">
        <x:v>生产安全</x:v>
      </x:c>
      <x:c r="B19" s="3" t="str">
        <x:v>破坏性、清理、网络故障、越权、时钟与余额操作在独立测试环境完成。飞书写操作仅针对专用测试目标。用专用canary，不把真实密码、API Key或Token记入结果。</x:v>
      </x:c>
    </x:row>
    <x:row r="20" ht="42" customHeight="1">
      <x:c r="A20" s="3" t="str">
        <x:v>测试环境 E1</x:v>
      </x:c>
      <x:c r="B20" s="3" t="str">
        <x:v>本地/集成环境：Vue + API + Worker + PostgreSQL + Keycloak + MinIO；可注入进程、事件、对象存储和时钟。DB集成须显式准备测试DSN。</x:v>
      </x:c>
    </x:row>
    <x:row r="21" ht="42" customHeight="1">
      <x:c r="A21" s="3" t="str">
        <x:v>测试环境 E2</x:v>
      </x:c>
      <x:c r="B21" s="3" t="str">
        <x:v>Linux + Docker + gVisor runsc +固定Runtime RepoDigest+受控Egress；先production-conformance-preflight，再执行对应真实镜像/隔离门禁。</x:v>
      </x:c>
    </x:row>
    <x:row r="22" ht="36" customHeight="1">
      <x:c r="A22" s="3" t="str">
        <x:v>测试环境 E3</x:v>
      </x:c>
      <x:c r="B22" s="3" t="str">
        <x:v>专用飞书测试租户/应用与至少两个测试账号；固定CLI bundle及审核能力；外部授权、scope与审批可被复现。</x:v>
      </x:c>
    </x:row>
    <x:row r="23" ht="36" customHeight="1">
      <x:c r="A23" s="3" t="str">
        <x:v>测试环境 E4</x:v>
      </x:c>
      <x:c r="B23" s="3" t="str">
        <x:v>远端MinIO/阿里云OSS、备份恢复测试库和隔离部署目标。缺远端凭据导致Skip不算通过。</x:v>
      </x:c>
    </x:row>
    <x:row r="24" ht="42" customHeight="1">
      <x:c r="A24" s="3" t="str">
        <x:v>范围排除</x:v>
      </x:c>
      <x:c r="B24" s="3" t="str">
        <x:v>不把旧Coding Task、组织角色、Release/Review Branch、Push/PR、Workflow DAG、Workspace编辑上传、账号永久删除作为当前产品正向功能。</x:v>
      </x:c>
    </x:row>
    <x:row r="25" ht="42" customHeight="1">
      <x:c r="A25" s="3" t="str">
        <x:v>执行检查建议</x:v>
      </x:c>
      <x:c r="B25" s="3" t="str">
        <x:v>按实际改动和验收目的选择目标Go测试、make test、make build、make web-typecheck、make web-build及前端测试；本文生成期间未执行应用测试或生产验收。</x:v>
      </x:c>
    </x:row>
    <x:row r="26" ht="36" customHeight="1">
      <x:c r="A26" s="3" t="str">
        <x:v>资料入口</x:v>
      </x:c>
      <x:c r="B26" s="3" t="str">
        <x:v>先看“覆盖与进度”，再按模块筛选“测试用例”。“接口清单”链接到代表用例；“验收边界与依据”解释来源与缺失证据。</x:v>
      </x:c>
    </x:row>
    <x:row r="27" ht="36" customHeight="1">
      <x:c r="A27" s="3" t="str">
        <x:v>飞书同步目标</x:v>
      </x:c>
      <x:c r="B27" s="3" t="str">
        <x:v>https://cafzb8mk0u.feishu.cn/wiki/YaO6wcNM1iRQkQk9uxDcaM4anUf</x:v>
      </x:c>
    </x:row>
  </x:sheetData>
  <x:pageMargins left="0.7" right="0.7" top="0.75" bottom="0.75" header="0.3" footer="0.3"/>
  <x:tableParts count="1">
    <x:tablePart xmlns:r="http://schemas.openxmlformats.org/officeDocument/2006/relationships" r:id="Rd18aeaa574ea4c8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3" hidden="0" customWidth="1"/>
    <x:col min="4" max="4" width="10" hidden="0" customWidth="1"/>
    <x:col min="5" max="5" width="10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3" hidden="0" customWidth="1"/>
    <x:col min="11" max="11" width="13" hidden="0" customWidth="1"/>
    <x:col min="12" max="12" width="14" hidden="0" customWidth="1"/>
    <x:col min="13" max="13" width="34" hidden="0" customWidth="1"/>
  </x:cols>
  <x:sheetData>
    <x:row r="1" ht="30" customHeight="1">
      <x:c r="A1" s="5" t="str">
        <x:v>覆盖与执行进度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7" t="str">
        <x:v>基线bb77a15 · 21个模块 · 统计随“测试用例”的优先级与执行状态更新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32" customHeight="1">
      <x:c r="A4" s="11" t="str">
        <x:v>模块代码</x:v>
      </x:c>
      <x:c r="B4" s="11" t="str">
        <x:v>功能模块</x:v>
      </x:c>
      <x:c r="C4" s="11" t="str">
        <x:v>用例总数</x:v>
      </x:c>
      <x:c r="D4" s="11" t="str">
        <x:v>P0</x:v>
      </x:c>
      <x:c r="E4" s="11" t="str">
        <x:v>P1</x:v>
      </x:c>
      <x:c r="F4" s="11" t="str">
        <x:v>P2</x:v>
      </x:c>
      <x:c r="G4" s="11" t="str">
        <x:v>通过</x:v>
      </x:c>
      <x:c r="H4" s="11" t="str">
        <x:v>失败</x:v>
      </x:c>
      <x:c r="I4" s="11" t="str">
        <x:v>阻塞</x:v>
      </x:c>
      <x:c r="J4" s="11" t="str">
        <x:v>不适用</x:v>
      </x:c>
      <x:c r="K4" s="11" t="str">
        <x:v>未执行</x:v>
      </x:c>
      <x:c r="L4" s="11" t="str">
        <x:v>完成率</x:v>
      </x:c>
      <x:c r="M4" s="11" t="str">
        <x:v>依据编号</x:v>
      </x:c>
    </x:row>
    <x:row r="5" ht="36" customHeight="1">
      <x:c r="A5" s="3" t="str">
        <x:v>ACC</x:v>
      </x:c>
      <x:c r="B5" s="3" t="str">
        <x:v>账号与登录</x:v>
      </x:c>
      <x:c r="C5" s="13" t="n">
        <x:f>COUNTA('测试用例'!A5:A24)</x:f>
        <x:v>20</x:v>
      </x:c>
      <x:c r="D5" s="13" t="n">
        <x:f>COUNTIF('测试用例'!D5:D24,"P0")</x:f>
        <x:v>11</x:v>
      </x:c>
      <x:c r="E5" s="13" t="n">
        <x:f>COUNTIF('测试用例'!D5:D24,"P1")</x:f>
        <x:v>8</x:v>
      </x:c>
      <x:c r="F5" s="13" t="n">
        <x:f>COUNTIF('测试用例'!D5:D24,"P2")</x:f>
        <x:v>1</x:v>
      </x:c>
      <x:c r="G5" s="13" t="n">
        <x:f>COUNTIF('测试用例'!M5:M24,"通过")</x:f>
        <x:v>0</x:v>
      </x:c>
      <x:c r="H5" s="13" t="n">
        <x:f>COUNTIF('测试用例'!M5:M24,"失败")</x:f>
        <x:v>1</x:v>
      </x:c>
      <x:c r="I5" s="13" t="n">
        <x:f>COUNTIF('测试用例'!M5:M24,"阻塞")</x:f>
        <x:v>0</x:v>
      </x:c>
      <x:c r="J5" s="13" t="n">
        <x:f>COUNTIF('测试用例'!M5:M24,"不适用")</x:f>
        <x:v>0</x:v>
      </x:c>
      <x:c r="K5" s="13" t="n">
        <x:f>COUNTIF('测试用例'!M5:M24,"未执行")</x:f>
        <x:v>19</x:v>
      </x:c>
      <x:c r="L5" s="14" t="n">
        <x:f>IF(C5-J5=0,0,(G5+H5)/(C5-J5))</x:f>
        <x:v>0.05</x:v>
      </x:c>
      <x:c r="M5" s="3" t="str">
        <x:v>S01;S04;S05</x:v>
      </x:c>
    </x:row>
    <x:row r="6" ht="36" customHeight="1">
      <x:c r="A6" s="3" t="str">
        <x:v>SES</x:v>
      </x:c>
      <x:c r="B6" s="3" t="str">
        <x:v>Session 会话</x:v>
      </x:c>
      <x:c r="C6" s="13" t="n">
        <x:f>COUNTA('测试用例'!A25:A47)</x:f>
        <x:v>23</x:v>
      </x:c>
      <x:c r="D6" s="13" t="n">
        <x:f>COUNTIF('测试用例'!D25:D47,"P0")</x:f>
        <x:v>11</x:v>
      </x:c>
      <x:c r="E6" s="13" t="n">
        <x:f>COUNTIF('测试用例'!D25:D47,"P1")</x:f>
        <x:v>11</x:v>
      </x:c>
      <x:c r="F6" s="13" t="n">
        <x:f>COUNTIF('测试用例'!D25:D47,"P2")</x:f>
        <x:v>1</x:v>
      </x:c>
      <x:c r="G6" s="13" t="n">
        <x:f>COUNTIF('测试用例'!M25:M47,"通过")</x:f>
        <x:v>0</x:v>
      </x:c>
      <x:c r="H6" s="13" t="n">
        <x:f>COUNTIF('测试用例'!M25:M47,"失败")</x:f>
        <x:v>0</x:v>
      </x:c>
      <x:c r="I6" s="13" t="n">
        <x:f>COUNTIF('测试用例'!M25:M47,"阻塞")</x:f>
        <x:v>0</x:v>
      </x:c>
      <x:c r="J6" s="13" t="n">
        <x:f>COUNTIF('测试用例'!M25:M47,"不适用")</x:f>
        <x:v>0</x:v>
      </x:c>
      <x:c r="K6" s="13" t="n">
        <x:f>COUNTIF('测试用例'!M25:M47,"未执行")</x:f>
        <x:v>23</x:v>
      </x:c>
      <x:c r="L6" s="14" t="n">
        <x:f>IF(C6-J6=0,0,(G6+H6)/(C6-J6))</x:f>
        <x:v>0</x:v>
      </x:c>
      <x:c r="M6" s="3" t="str">
        <x:v>S01;S04;S06</x:v>
      </x:c>
    </x:row>
    <x:row r="7" ht="36" customHeight="1">
      <x:c r="A7" s="3" t="str">
        <x:v>SEL</x:v>
      </x:c>
      <x:c r="B7" s="3" t="str">
        <x:v>会话资源选择与草稿</x:v>
      </x:c>
      <x:c r="C7" s="13" t="n">
        <x:f>COUNTA('测试用例'!A48:A74)</x:f>
        <x:v>27</x:v>
      </x:c>
      <x:c r="D7" s="13" t="n">
        <x:f>COUNTIF('测试用例'!D48:D74,"P0")</x:f>
        <x:v>19</x:v>
      </x:c>
      <x:c r="E7" s="13" t="n">
        <x:f>COUNTIF('测试用例'!D48:D74,"P1")</x:f>
        <x:v>8</x:v>
      </x:c>
      <x:c r="F7" s="13" t="n">
        <x:f>COUNTIF('测试用例'!D48:D74,"P2")</x:f>
        <x:v>0</x:v>
      </x:c>
      <x:c r="G7" s="13" t="n">
        <x:f>COUNTIF('测试用例'!M48:M74,"通过")</x:f>
        <x:v>0</x:v>
      </x:c>
      <x:c r="H7" s="13" t="n">
        <x:f>COUNTIF('测试用例'!M48:M74,"失败")</x:f>
        <x:v>0</x:v>
      </x:c>
      <x:c r="I7" s="13" t="n">
        <x:f>COUNTIF('测试用例'!M48:M74,"阻塞")</x:f>
        <x:v>0</x:v>
      </x:c>
      <x:c r="J7" s="13" t="n">
        <x:f>COUNTIF('测试用例'!M48:M74,"不适用")</x:f>
        <x:v>0</x:v>
      </x:c>
      <x:c r="K7" s="13" t="n">
        <x:f>COUNTIF('测试用例'!M48:M74,"未执行")</x:f>
        <x:v>27</x:v>
      </x:c>
      <x:c r="L7" s="14" t="n">
        <x:f>IF(C7-J7=0,0,(G7+H7)/(C7-J7))</x:f>
        <x:v>0</x:v>
      </x:c>
      <x:c r="M7" s="3" t="str">
        <x:v>S02;S06;S07;S27</x:v>
      </x:c>
    </x:row>
    <x:row r="8" ht="36" customHeight="1">
      <x:c r="A8" s="3" t="str">
        <x:v>FIL</x:v>
      </x:c>
      <x:c r="B8" s="3" t="str">
        <x:v>附件与文件引用</x:v>
      </x:c>
      <x:c r="C8" s="13" t="n">
        <x:f>COUNTA('测试用例'!A75:A95)</x:f>
        <x:v>21</x:v>
      </x:c>
      <x:c r="D8" s="13" t="n">
        <x:f>COUNTIF('测试用例'!D75:D95,"P0")</x:f>
        <x:v>16</x:v>
      </x:c>
      <x:c r="E8" s="13" t="n">
        <x:f>COUNTIF('测试用例'!D75:D95,"P1")</x:f>
        <x:v>5</x:v>
      </x:c>
      <x:c r="F8" s="13" t="n">
        <x:f>COUNTIF('测试用例'!D75:D95,"P2")</x:f>
        <x:v>0</x:v>
      </x:c>
      <x:c r="G8" s="13" t="n">
        <x:f>COUNTIF('测试用例'!M75:M95,"通过")</x:f>
        <x:v>0</x:v>
      </x:c>
      <x:c r="H8" s="13" t="n">
        <x:f>COUNTIF('测试用例'!M75:M95,"失败")</x:f>
        <x:v>0</x:v>
      </x:c>
      <x:c r="I8" s="13" t="n">
        <x:f>COUNTIF('测试用例'!M75:M95,"阻塞")</x:f>
        <x:v>0</x:v>
      </x:c>
      <x:c r="J8" s="13" t="n">
        <x:f>COUNTIF('测试用例'!M75:M95,"不适用")</x:f>
        <x:v>0</x:v>
      </x:c>
      <x:c r="K8" s="13" t="n">
        <x:f>COUNTIF('测试用例'!M75:M95,"未执行")</x:f>
        <x:v>21</x:v>
      </x:c>
      <x:c r="L8" s="14" t="n">
        <x:f>IF(C8-J8=0,0,(G8+H8)/(C8-J8))</x:f>
        <x:v>0</x:v>
      </x:c>
      <x:c r="M8" s="3" t="str">
        <x:v>S01;S02;S08</x:v>
      </x:c>
    </x:row>
    <x:row r="9" ht="36" customHeight="1">
      <x:c r="A9" s="3" t="str">
        <x:v>WF</x:v>
      </x:c>
      <x:c r="B9" s="3" t="str">
        <x:v>Workflow 与运行对话</x:v>
      </x:c>
      <x:c r="C9" s="13" t="n">
        <x:f>COUNTA('测试用例'!A96:A118)</x:f>
        <x:v>23</x:v>
      </x:c>
      <x:c r="D9" s="13" t="n">
        <x:f>COUNTIF('测试用例'!D96:D118,"P0")</x:f>
        <x:v>15</x:v>
      </x:c>
      <x:c r="E9" s="13" t="n">
        <x:f>COUNTIF('测试用例'!D96:D118,"P1")</x:f>
        <x:v>6</x:v>
      </x:c>
      <x:c r="F9" s="13" t="n">
        <x:f>COUNTIF('测试用例'!D96:D118,"P2")</x:f>
        <x:v>2</x:v>
      </x:c>
      <x:c r="G9" s="13" t="n">
        <x:f>COUNTIF('测试用例'!M96:M118,"通过")</x:f>
        <x:v>0</x:v>
      </x:c>
      <x:c r="H9" s="13" t="n">
        <x:f>COUNTIF('测试用例'!M96:M118,"失败")</x:f>
        <x:v>0</x:v>
      </x:c>
      <x:c r="I9" s="13" t="n">
        <x:f>COUNTIF('测试用例'!M96:M118,"阻塞")</x:f>
        <x:v>0</x:v>
      </x:c>
      <x:c r="J9" s="13" t="n">
        <x:f>COUNTIF('测试用例'!M96:M118,"不适用")</x:f>
        <x:v>0</x:v>
      </x:c>
      <x:c r="K9" s="13" t="n">
        <x:f>COUNTIF('测试用例'!M96:M118,"未执行")</x:f>
        <x:v>23</x:v>
      </x:c>
      <x:c r="L9" s="14" t="n">
        <x:f>IF(C9-J9=0,0,(G9+H9)/(C9-J9))</x:f>
        <x:v>0</x:v>
      </x:c>
      <x:c r="M9" s="3" t="str">
        <x:v>S01;S04;S09</x:v>
      </x:c>
    </x:row>
    <x:row r="10" ht="36" customHeight="1">
      <x:c r="A10" s="3" t="str">
        <x:v>API</x:v>
      </x:c>
      <x:c r="B10" s="3" t="str">
        <x:v>Workflow API 与幂等</x:v>
      </x:c>
      <x:c r="C10" s="13" t="n">
        <x:f>COUNTA('测试用例'!A119:A137)</x:f>
        <x:v>19</x:v>
      </x:c>
      <x:c r="D10" s="13" t="n">
        <x:f>COUNTIF('测试用例'!D119:D137,"P0")</x:f>
        <x:v>15</x:v>
      </x:c>
      <x:c r="E10" s="13" t="n">
        <x:f>COUNTIF('测试用例'!D119:D137,"P1")</x:f>
        <x:v>4</x:v>
      </x:c>
      <x:c r="F10" s="13" t="n">
        <x:f>COUNTIF('测试用例'!D119:D137,"P2")</x:f>
        <x:v>0</x:v>
      </x:c>
      <x:c r="G10" s="13" t="n">
        <x:f>COUNTIF('测试用例'!M119:M137,"通过")</x:f>
        <x:v>0</x:v>
      </x:c>
      <x:c r="H10" s="13" t="n">
        <x:f>COUNTIF('测试用例'!M119:M137,"失败")</x:f>
        <x:v>0</x:v>
      </x:c>
      <x:c r="I10" s="13" t="n">
        <x:f>COUNTIF('测试用例'!M119:M137,"阻塞")</x:f>
        <x:v>0</x:v>
      </x:c>
      <x:c r="J10" s="13" t="n">
        <x:f>COUNTIF('测试用例'!M119:M137,"不适用")</x:f>
        <x:v>0</x:v>
      </x:c>
      <x:c r="K10" s="13" t="n">
        <x:f>COUNTIF('测试用例'!M119:M137,"未执行")</x:f>
        <x:v>19</x:v>
      </x:c>
      <x:c r="L10" s="14" t="n">
        <x:f>IF(C10-J10=0,0,(G10+H10)/(C10-J10))</x:f>
        <x:v>0</x:v>
      </x:c>
      <x:c r="M10" s="3" t="str">
        <x:v>S01;S04;S09</x:v>
      </x:c>
    </x:row>
    <x:row r="11" ht="36" customHeight="1">
      <x:c r="A11" s="3" t="str">
        <x:v>SCH</x:v>
      </x:c>
      <x:c r="B11" s="3" t="str">
        <x:v>定时触发</x:v>
      </x:c>
      <x:c r="C11" s="13" t="n">
        <x:f>COUNTA('测试用例'!A138:A149)</x:f>
        <x:v>12</x:v>
      </x:c>
      <x:c r="D11" s="13" t="n">
        <x:f>COUNTIF('测试用例'!D138:D149,"P0")</x:f>
        <x:v>7</x:v>
      </x:c>
      <x:c r="E11" s="13" t="n">
        <x:f>COUNTIF('测试用例'!D138:D149,"P1")</x:f>
        <x:v>5</x:v>
      </x:c>
      <x:c r="F11" s="13" t="n">
        <x:f>COUNTIF('测试用例'!D138:D149,"P2")</x:f>
        <x:v>0</x:v>
      </x:c>
      <x:c r="G11" s="13" t="n">
        <x:f>COUNTIF('测试用例'!M138:M149,"通过")</x:f>
        <x:v>0</x:v>
      </x:c>
      <x:c r="H11" s="13" t="n">
        <x:f>COUNTIF('测试用例'!M138:M149,"失败")</x:f>
        <x:v>0</x:v>
      </x:c>
      <x:c r="I11" s="13" t="n">
        <x:f>COUNTIF('测试用例'!M138:M149,"阻塞")</x:f>
        <x:v>0</x:v>
      </x:c>
      <x:c r="J11" s="13" t="n">
        <x:f>COUNTIF('测试用例'!M138:M149,"不适用")</x:f>
        <x:v>0</x:v>
      </x:c>
      <x:c r="K11" s="13" t="n">
        <x:f>COUNTIF('测试用例'!M138:M149,"未执行")</x:f>
        <x:v>12</x:v>
      </x:c>
      <x:c r="L11" s="14" t="n">
        <x:f>IF(C11-J11=0,0,(G11+H11)/(C11-J11))</x:f>
        <x:v>0</x:v>
      </x:c>
      <x:c r="M11" s="3" t="str">
        <x:v>S01;S09</x:v>
      </x:c>
    </x:row>
    <x:row r="12" ht="36" customHeight="1">
      <x:c r="A12" s="3" t="str">
        <x:v>WSP</x:v>
      </x:c>
      <x:c r="B12" s="3" t="str">
        <x:v>Workspace 与 Git</x:v>
      </x:c>
      <x:c r="C12" s="13" t="n">
        <x:f>COUNTA('测试用例'!A150:A170)</x:f>
        <x:v>21</x:v>
      </x:c>
      <x:c r="D12" s="13" t="n">
        <x:f>COUNTIF('测试用例'!D150:D170,"P0")</x:f>
        <x:v>12</x:v>
      </x:c>
      <x:c r="E12" s="13" t="n">
        <x:f>COUNTIF('测试用例'!D150:D170,"P1")</x:f>
        <x:v>8</x:v>
      </x:c>
      <x:c r="F12" s="13" t="n">
        <x:f>COUNTIF('测试用例'!D150:D170,"P2")</x:f>
        <x:v>1</x:v>
      </x:c>
      <x:c r="G12" s="13" t="n">
        <x:f>COUNTIF('测试用例'!M150:M170,"通过")</x:f>
        <x:v>0</x:v>
      </x:c>
      <x:c r="H12" s="13" t="n">
        <x:f>COUNTIF('测试用例'!M150:M170,"失败")</x:f>
        <x:v>0</x:v>
      </x:c>
      <x:c r="I12" s="13" t="n">
        <x:f>COUNTIF('测试用例'!M150:M170,"阻塞")</x:f>
        <x:v>0</x:v>
      </x:c>
      <x:c r="J12" s="13" t="n">
        <x:f>COUNTIF('测试用例'!M150:M170,"不适用")</x:f>
        <x:v>0</x:v>
      </x:c>
      <x:c r="K12" s="13" t="n">
        <x:f>COUNTIF('测试用例'!M150:M170,"未执行")</x:f>
        <x:v>21</x:v>
      </x:c>
      <x:c r="L12" s="14" t="n">
        <x:f>IF(C12-J12=0,0,(G12+H12)/(C12-J12))</x:f>
        <x:v>0</x:v>
      </x:c>
      <x:c r="M12" s="3" t="str">
        <x:v>S01;S09;S10;S23</x:v>
      </x:c>
    </x:row>
    <x:row r="13" ht="36" customHeight="1">
      <x:c r="A13" s="3" t="str">
        <x:v>ART</x:v>
      </x:c>
      <x:c r="B13" s="3" t="str">
        <x:v>Artifact 与结果展示</x:v>
      </x:c>
      <x:c r="C13" s="13" t="n">
        <x:f>COUNTA('测试用例'!A171:A182)</x:f>
        <x:v>12</x:v>
      </x:c>
      <x:c r="D13" s="13" t="n">
        <x:f>COUNTIF('测试用例'!D171:D182,"P0")</x:f>
        <x:v>8</x:v>
      </x:c>
      <x:c r="E13" s="13" t="n">
        <x:f>COUNTIF('测试用例'!D171:D182,"P1")</x:f>
        <x:v>4</x:v>
      </x:c>
      <x:c r="F13" s="13" t="n">
        <x:f>COUNTIF('测试用例'!D171:D182,"P2")</x:f>
        <x:v>0</x:v>
      </x:c>
      <x:c r="G13" s="13" t="n">
        <x:f>COUNTIF('测试用例'!M171:M182,"通过")</x:f>
        <x:v>0</x:v>
      </x:c>
      <x:c r="H13" s="13" t="n">
        <x:f>COUNTIF('测试用例'!M171:M182,"失败")</x:f>
        <x:v>0</x:v>
      </x:c>
      <x:c r="I13" s="13" t="n">
        <x:f>COUNTIF('测试用例'!M171:M182,"阻塞")</x:f>
        <x:v>0</x:v>
      </x:c>
      <x:c r="J13" s="13" t="n">
        <x:f>COUNTIF('测试用例'!M171:M182,"不适用")</x:f>
        <x:v>0</x:v>
      </x:c>
      <x:c r="K13" s="13" t="n">
        <x:f>COUNTIF('测试用例'!M171:M182,"未执行")</x:f>
        <x:v>12</x:v>
      </x:c>
      <x:c r="L13" s="14" t="n">
        <x:f>IF(C13-J13=0,0,(G13+H13)/(C13-J13))</x:f>
        <x:v>0</x:v>
      </x:c>
      <x:c r="M13" s="3" t="str">
        <x:v>S01;S08;S09</x:v>
      </x:c>
    </x:row>
    <x:row r="14" ht="36" customHeight="1">
      <x:c r="A14" s="3" t="str">
        <x:v>EXP</x:v>
      </x:c>
      <x:c r="B14" s="3" t="str">
        <x:v>Expert 专家管理</x:v>
      </x:c>
      <x:c r="C14" s="13" t="n">
        <x:f>COUNTA('测试用例'!A183:A200)</x:f>
        <x:v>18</x:v>
      </x:c>
      <x:c r="D14" s="13" t="n">
        <x:f>COUNTIF('测试用例'!D183:D200,"P0")</x:f>
        <x:v>7</x:v>
      </x:c>
      <x:c r="E14" s="13" t="n">
        <x:f>COUNTIF('测试用例'!D183:D200,"P1")</x:f>
        <x:v>9</x:v>
      </x:c>
      <x:c r="F14" s="13" t="n">
        <x:f>COUNTIF('测试用例'!D183:D200,"P2")</x:f>
        <x:v>2</x:v>
      </x:c>
      <x:c r="G14" s="13" t="n">
        <x:f>COUNTIF('测试用例'!M183:M200,"通过")</x:f>
        <x:v>0</x:v>
      </x:c>
      <x:c r="H14" s="13" t="n">
        <x:f>COUNTIF('测试用例'!M183:M200,"失败")</x:f>
        <x:v>0</x:v>
      </x:c>
      <x:c r="I14" s="13" t="n">
        <x:f>COUNTIF('测试用例'!M183:M200,"阻塞")</x:f>
        <x:v>0</x:v>
      </x:c>
      <x:c r="J14" s="13" t="n">
        <x:f>COUNTIF('测试用例'!M183:M200,"不适用")</x:f>
        <x:v>0</x:v>
      </x:c>
      <x:c r="K14" s="13" t="n">
        <x:f>COUNTIF('测试用例'!M183:M200,"未执行")</x:f>
        <x:v>18</x:v>
      </x:c>
      <x:c r="L14" s="14" t="n">
        <x:f>IF(C14-J14=0,0,(G14+H14)/(C14-J14))</x:f>
        <x:v>0</x:v>
      </x:c>
      <x:c r="M14" s="3" t="str">
        <x:v>S01;S03;S11</x:v>
      </x:c>
    </x:row>
    <x:row r="15" ht="36" customHeight="1">
      <x:c r="A15" s="3" t="str">
        <x:v>TEAM</x:v>
      </x:c>
      <x:c r="B15" s="3" t="str">
        <x:v>Expert Team 协作</x:v>
      </x:c>
      <x:c r="C15" s="13" t="n">
        <x:f>COUNTA('测试用例'!A201:A219)</x:f>
        <x:v>19</x:v>
      </x:c>
      <x:c r="D15" s="13" t="n">
        <x:f>COUNTIF('测试用例'!D201:D219,"P0")</x:f>
        <x:v>14</x:v>
      </x:c>
      <x:c r="E15" s="13" t="n">
        <x:f>COUNTIF('测试用例'!D201:D219,"P1")</x:f>
        <x:v>5</x:v>
      </x:c>
      <x:c r="F15" s="13" t="n">
        <x:f>COUNTIF('测试用例'!D201:D219,"P2")</x:f>
        <x:v>0</x:v>
      </x:c>
      <x:c r="G15" s="13" t="n">
        <x:f>COUNTIF('测试用例'!M201:M219,"通过")</x:f>
        <x:v>0</x:v>
      </x:c>
      <x:c r="H15" s="13" t="n">
        <x:f>COUNTIF('测试用例'!M201:M219,"失败")</x:f>
        <x:v>0</x:v>
      </x:c>
      <x:c r="I15" s="13" t="n">
        <x:f>COUNTIF('测试用例'!M201:M219,"阻塞")</x:f>
        <x:v>0</x:v>
      </x:c>
      <x:c r="J15" s="13" t="n">
        <x:f>COUNTIF('测试用例'!M201:M219,"不适用")</x:f>
        <x:v>0</x:v>
      </x:c>
      <x:c r="K15" s="13" t="n">
        <x:f>COUNTIF('测试用例'!M201:M219,"未执行")</x:f>
        <x:v>19</x:v>
      </x:c>
      <x:c r="L15" s="14" t="n">
        <x:f>IF(C15-J15=0,0,(G15+H15)/(C15-J15))</x:f>
        <x:v>0</x:v>
      </x:c>
      <x:c r="M15" s="3" t="str">
        <x:v>S01;S03;S11;S12</x:v>
      </x:c>
    </x:row>
    <x:row r="16" ht="36" customHeight="1">
      <x:c r="A16" s="3" t="str">
        <x:v>SKL</x:v>
      </x:c>
      <x:c r="B16" s="3" t="str">
        <x:v>Skill 安装与目录</x:v>
      </x:c>
      <x:c r="C16" s="13" t="n">
        <x:f>COUNTA('测试用例'!A220:A236)</x:f>
        <x:v>17</x:v>
      </x:c>
      <x:c r="D16" s="13" t="n">
        <x:f>COUNTIF('测试用例'!D220:D236,"P0")</x:f>
        <x:v>12</x:v>
      </x:c>
      <x:c r="E16" s="13" t="n">
        <x:f>COUNTIF('测试用例'!D220:D236,"P1")</x:f>
        <x:v>5</x:v>
      </x:c>
      <x:c r="F16" s="13" t="n">
        <x:f>COUNTIF('测试用例'!D220:D236,"P2")</x:f>
        <x:v>0</x:v>
      </x:c>
      <x:c r="G16" s="13" t="n">
        <x:f>COUNTIF('测试用例'!M220:M236,"通过")</x:f>
        <x:v>0</x:v>
      </x:c>
      <x:c r="H16" s="13" t="n">
        <x:f>COUNTIF('测试用例'!M220:M236,"失败")</x:f>
        <x:v>0</x:v>
      </x:c>
      <x:c r="I16" s="13" t="n">
        <x:f>COUNTIF('测试用例'!M220:M236,"阻塞")</x:f>
        <x:v>0</x:v>
      </x:c>
      <x:c r="J16" s="13" t="n">
        <x:f>COUNTIF('测试用例'!M220:M236,"不适用")</x:f>
        <x:v>0</x:v>
      </x:c>
      <x:c r="K16" s="13" t="n">
        <x:f>COUNTIF('测试用例'!M220:M236,"未执行")</x:f>
        <x:v>17</x:v>
      </x:c>
      <x:c r="L16" s="14" t="n">
        <x:f>IF(C16-J16=0,0,(G16+H16)/(C16-J16))</x:f>
        <x:v>0</x:v>
      </x:c>
      <x:c r="M16" s="3" t="str">
        <x:v>S01;S02;S03;S13</x:v>
      </x:c>
    </x:row>
    <x:row r="17" ht="36" customHeight="1">
      <x:c r="A17" s="3" t="str">
        <x:v>MCP</x:v>
      </x:c>
      <x:c r="B17" s="3" t="str">
        <x:v>MCP Connector</x:v>
      </x:c>
      <x:c r="C17" s="13" t="n">
        <x:f>COUNTA('测试用例'!A237:A248)</x:f>
        <x:v>12</x:v>
      </x:c>
      <x:c r="D17" s="13" t="n">
        <x:f>COUNTIF('测试用例'!D237:D248,"P0")</x:f>
        <x:v>10</x:v>
      </x:c>
      <x:c r="E17" s="13" t="n">
        <x:f>COUNTIF('测试用例'!D237:D248,"P1")</x:f>
        <x:v>2</x:v>
      </x:c>
      <x:c r="F17" s="13" t="n">
        <x:f>COUNTIF('测试用例'!D237:D248,"P2")</x:f>
        <x:v>0</x:v>
      </x:c>
      <x:c r="G17" s="13" t="n">
        <x:f>COUNTIF('测试用例'!M237:M248,"通过")</x:f>
        <x:v>0</x:v>
      </x:c>
      <x:c r="H17" s="13" t="n">
        <x:f>COUNTIF('测试用例'!M237:M248,"失败")</x:f>
        <x:v>1</x:v>
      </x:c>
      <x:c r="I17" s="13" t="n">
        <x:f>COUNTIF('测试用例'!M237:M248,"阻塞")</x:f>
        <x:v>0</x:v>
      </x:c>
      <x:c r="J17" s="13" t="n">
        <x:f>COUNTIF('测试用例'!M237:M248,"不适用")</x:f>
        <x:v>0</x:v>
      </x:c>
      <x:c r="K17" s="13" t="n">
        <x:f>COUNTIF('测试用例'!M237:M248,"未执行")</x:f>
        <x:v>11</x:v>
      </x:c>
      <x:c r="L17" s="14" t="n">
        <x:f>IF(C17-J17=0,0,(G17+H17)/(C17-J17))</x:f>
        <x:v>0.08333333333333333</x:v>
      </x:c>
      <x:c r="M17" s="3" t="str">
        <x:v>S01;S03;S13;S14</x:v>
      </x:c>
    </x:row>
    <x:row r="18" ht="36" customHeight="1">
      <x:c r="A18" s="3" t="str">
        <x:v>CLI</x:v>
      </x:c>
      <x:c r="B18" s="3" t="str">
        <x:v>CLI Connector 与飞书授权</x:v>
      </x:c>
      <x:c r="C18" s="13" t="n">
        <x:f>COUNTA('测试用例'!A249:A272)</x:f>
        <x:v>24</x:v>
      </x:c>
      <x:c r="D18" s="13" t="n">
        <x:f>COUNTIF('测试用例'!D249:D272,"P0")</x:f>
        <x:v>16</x:v>
      </x:c>
      <x:c r="E18" s="13" t="n">
        <x:f>COUNTIF('测试用例'!D249:D272,"P1")</x:f>
        <x:v>8</x:v>
      </x:c>
      <x:c r="F18" s="13" t="n">
        <x:f>COUNTIF('测试用例'!D249:D272,"P2")</x:f>
        <x:v>0</x:v>
      </x:c>
      <x:c r="G18" s="13" t="n">
        <x:f>COUNTIF('测试用例'!M249:M272,"通过")</x:f>
        <x:v>0</x:v>
      </x:c>
      <x:c r="H18" s="13" t="n">
        <x:f>COUNTIF('测试用例'!M249:M272,"失败")</x:f>
        <x:v>0</x:v>
      </x:c>
      <x:c r="I18" s="13" t="n">
        <x:f>COUNTIF('测试用例'!M249:M272,"阻塞")</x:f>
        <x:v>0</x:v>
      </x:c>
      <x:c r="J18" s="13" t="n">
        <x:f>COUNTIF('测试用例'!M249:M272,"不适用")</x:f>
        <x:v>0</x:v>
      </x:c>
      <x:c r="K18" s="13" t="n">
        <x:f>COUNTIF('测试用例'!M249:M272,"未执行")</x:f>
        <x:v>24</x:v>
      </x:c>
      <x:c r="L18" s="14" t="n">
        <x:f>IF(C18-J18=0,0,(G18+H18)/(C18-J18))</x:f>
        <x:v>0</x:v>
      </x:c>
      <x:c r="M18" s="3" t="str">
        <x:v>S01;S15;S16;S28</x:v>
      </x:c>
    </x:row>
    <x:row r="19" ht="36" customHeight="1">
      <x:c r="A19" s="3" t="str">
        <x:v>APR</x:v>
      </x:c>
      <x:c r="B19" s="3" t="str">
        <x:v>命令审批与用户等待</x:v>
      </x:c>
      <x:c r="C19" s="13" t="n">
        <x:f>COUNTA('测试用例'!A273:A290)</x:f>
        <x:v>18</x:v>
      </x:c>
      <x:c r="D19" s="13" t="n">
        <x:f>COUNTIF('测试用例'!D273:D290,"P0")</x:f>
        <x:v>17</x:v>
      </x:c>
      <x:c r="E19" s="13" t="n">
        <x:f>COUNTIF('测试用例'!D273:D290,"P1")</x:f>
        <x:v>1</x:v>
      </x:c>
      <x:c r="F19" s="13" t="n">
        <x:f>COUNTIF('测试用例'!D273:D290,"P2")</x:f>
        <x:v>0</x:v>
      </x:c>
      <x:c r="G19" s="13" t="n">
        <x:f>COUNTIF('测试用例'!M273:M290,"通过")</x:f>
        <x:v>0</x:v>
      </x:c>
      <x:c r="H19" s="13" t="n">
        <x:f>COUNTIF('测试用例'!M273:M290,"失败")</x:f>
        <x:v>0</x:v>
      </x:c>
      <x:c r="I19" s="13" t="n">
        <x:f>COUNTIF('测试用例'!M273:M290,"阻塞")</x:f>
        <x:v>0</x:v>
      </x:c>
      <x:c r="J19" s="13" t="n">
        <x:f>COUNTIF('测试用例'!M273:M290,"不适用")</x:f>
        <x:v>0</x:v>
      </x:c>
      <x:c r="K19" s="13" t="n">
        <x:f>COUNTIF('测试用例'!M273:M290,"未执行")</x:f>
        <x:v>18</x:v>
      </x:c>
      <x:c r="L19" s="14" t="n">
        <x:f>IF(C19-J19=0,0,(G19+H19)/(C19-J19))</x:f>
        <x:v>0</x:v>
      </x:c>
      <x:c r="M19" s="3" t="str">
        <x:v>S01;S15;S16</x:v>
      </x:c>
    </x:row>
    <x:row r="20" ht="36" customHeight="1">
      <x:c r="A20" s="3" t="str">
        <x:v>SET</x:v>
      </x:c>
      <x:c r="B20" s="3" t="str">
        <x:v>模型目录与个人设置</x:v>
      </x:c>
      <x:c r="C20" s="13" t="n">
        <x:f>COUNTA('测试用例'!A291:A314)</x:f>
        <x:v>24</x:v>
      </x:c>
      <x:c r="D20" s="13" t="n">
        <x:f>COUNTIF('测试用例'!D291:D314,"P0")</x:f>
        <x:v>9</x:v>
      </x:c>
      <x:c r="E20" s="13" t="n">
        <x:f>COUNTIF('测试用例'!D291:D314,"P1")</x:f>
        <x:v>14</x:v>
      </x:c>
      <x:c r="F20" s="13" t="n">
        <x:f>COUNTIF('测试用例'!D291:D314,"P2")</x:f>
        <x:v>1</x:v>
      </x:c>
      <x:c r="G20" s="13" t="n">
        <x:f>COUNTIF('测试用例'!M291:M314,"通过")</x:f>
        <x:v>0</x:v>
      </x:c>
      <x:c r="H20" s="13" t="n">
        <x:f>COUNTIF('测试用例'!M291:M314,"失败")</x:f>
        <x:v>0</x:v>
      </x:c>
      <x:c r="I20" s="13" t="n">
        <x:f>COUNTIF('测试用例'!M291:M314,"阻塞")</x:f>
        <x:v>0</x:v>
      </x:c>
      <x:c r="J20" s="13" t="n">
        <x:f>COUNTIF('测试用例'!M291:M314,"不适用")</x:f>
        <x:v>0</x:v>
      </x:c>
      <x:c r="K20" s="13" t="n">
        <x:f>COUNTIF('测试用例'!M291:M314,"未执行")</x:f>
        <x:v>24</x:v>
      </x:c>
      <x:c r="L20" s="14" t="n">
        <x:f>IF(C20-J20=0,0,(G20+H20)/(C20-J20))</x:f>
        <x:v>0</x:v>
      </x:c>
      <x:c r="M20" s="3" t="str">
        <x:v>S01;S17;S18</x:v>
      </x:c>
    </x:row>
    <x:row r="21" ht="36" customHeight="1">
      <x:c r="A21" s="3" t="str">
        <x:v>CRD</x:v>
      </x:c>
      <x:c r="B21" s="3" t="str">
        <x:v>积分与兑换</x:v>
      </x:c>
      <x:c r="C21" s="13" t="n">
        <x:f>COUNTA('测试用例'!A315:A347)</x:f>
        <x:v>33</x:v>
      </x:c>
      <x:c r="D21" s="13" t="n">
        <x:f>COUNTIF('测试用例'!D315:D347,"P0")</x:f>
        <x:v>28</x:v>
      </x:c>
      <x:c r="E21" s="13" t="n">
        <x:f>COUNTIF('测试用例'!D315:D347,"P1")</x:f>
        <x:v>5</x:v>
      </x:c>
      <x:c r="F21" s="13" t="n">
        <x:f>COUNTIF('测试用例'!D315:D347,"P2")</x:f>
        <x:v>0</x:v>
      </x:c>
      <x:c r="G21" s="13" t="n">
        <x:f>COUNTIF('测试用例'!M315:M347,"通过")</x:f>
        <x:v>0</x:v>
      </x:c>
      <x:c r="H21" s="13" t="n">
        <x:f>COUNTIF('测试用例'!M315:M347,"失败")</x:f>
        <x:v>0</x:v>
      </x:c>
      <x:c r="I21" s="13" t="n">
        <x:f>COUNTIF('测试用例'!M315:M347,"阻塞")</x:f>
        <x:v>0</x:v>
      </x:c>
      <x:c r="J21" s="13" t="n">
        <x:f>COUNTIF('测试用例'!M315:M347,"不适用")</x:f>
        <x:v>0</x:v>
      </x:c>
      <x:c r="K21" s="13" t="n">
        <x:f>COUNTIF('测试用例'!M315:M347,"未执行")</x:f>
        <x:v>33</x:v>
      </x:c>
      <x:c r="L21" s="14" t="n">
        <x:f>IF(C21-J21=0,0,(G21+H21)/(C21-J21))</x:f>
        <x:v>0</x:v>
      </x:c>
      <x:c r="M21" s="3" t="str">
        <x:v>S01;S19;S24</x:v>
      </x:c>
    </x:row>
    <x:row r="22" ht="36" customHeight="1">
      <x:c r="A22" s="3" t="str">
        <x:v>SEC</x:v>
      </x:c>
      <x:c r="B22" s="3" t="str">
        <x:v>安全与跨层契约</x:v>
      </x:c>
      <x:c r="C22" s="13" t="n">
        <x:f>COUNTA('测试用例'!A348:A363)</x:f>
        <x:v>16</x:v>
      </x:c>
      <x:c r="D22" s="13" t="n">
        <x:f>COUNTIF('测试用例'!D348:D363,"P0")</x:f>
        <x:v>16</x:v>
      </x:c>
      <x:c r="E22" s="13" t="n">
        <x:f>COUNTIF('测试用例'!D348:D363,"P1")</x:f>
        <x:v>0</x:v>
      </x:c>
      <x:c r="F22" s="13" t="n">
        <x:f>COUNTIF('测试用例'!D348:D363,"P2")</x:f>
        <x:v>0</x:v>
      </x:c>
      <x:c r="G22" s="13" t="n">
        <x:f>COUNTIF('测试用例'!M348:M363,"通过")</x:f>
        <x:v>0</x:v>
      </x:c>
      <x:c r="H22" s="13" t="n">
        <x:f>COUNTIF('测试用例'!M348:M363,"失败")</x:f>
        <x:v>0</x:v>
      </x:c>
      <x:c r="I22" s="13" t="n">
        <x:f>COUNTIF('测试用例'!M348:M363,"阻塞")</x:f>
        <x:v>0</x:v>
      </x:c>
      <x:c r="J22" s="13" t="n">
        <x:f>COUNTIF('测试用例'!M348:M363,"不适用")</x:f>
        <x:v>0</x:v>
      </x:c>
      <x:c r="K22" s="13" t="n">
        <x:f>COUNTIF('测试用例'!M348:M363,"未执行")</x:f>
        <x:v>16</x:v>
      </x:c>
      <x:c r="L22" s="14" t="n">
        <x:f>IF(C22-J22=0,0,(G22+H22)/(C22-J22))</x:f>
        <x:v>0</x:v>
      </x:c>
      <x:c r="M22" s="3" t="str">
        <x:v>S01;S08;S14;S16;S20</x:v>
      </x:c>
    </x:row>
    <x:row r="23" ht="36" customHeight="1">
      <x:c r="A23" s="3" t="str">
        <x:v>RUN</x:v>
      </x:c>
      <x:c r="B23" s="3" t="str">
        <x:v>Runtime 与恢复</x:v>
      </x:c>
      <x:c r="C23" s="13" t="n">
        <x:f>COUNTA('测试用例'!A364:A377)</x:f>
        <x:v>14</x:v>
      </x:c>
      <x:c r="D23" s="13" t="n">
        <x:f>COUNTIF('测试用例'!D364:D377,"P0")</x:f>
        <x:v>12</x:v>
      </x:c>
      <x:c r="E23" s="13" t="n">
        <x:f>COUNTIF('测试用例'!D364:D377,"P1")</x:f>
        <x:v>2</x:v>
      </x:c>
      <x:c r="F23" s="13" t="n">
        <x:f>COUNTIF('测试用例'!D364:D377,"P2")</x:f>
        <x:v>0</x:v>
      </x:c>
      <x:c r="G23" s="13" t="n">
        <x:f>COUNTIF('测试用例'!M364:M377,"通过")</x:f>
        <x:v>0</x:v>
      </x:c>
      <x:c r="H23" s="13" t="n">
        <x:f>COUNTIF('测试用例'!M364:M377,"失败")</x:f>
        <x:v>0</x:v>
      </x:c>
      <x:c r="I23" s="13" t="n">
        <x:f>COUNTIF('测试用例'!M364:M377,"阻塞")</x:f>
        <x:v>0</x:v>
      </x:c>
      <x:c r="J23" s="13" t="n">
        <x:f>COUNTIF('测试用例'!M364:M377,"不适用")</x:f>
        <x:v>0</x:v>
      </x:c>
      <x:c r="K23" s="13" t="n">
        <x:f>COUNTIF('测试用例'!M364:M377,"未执行")</x:f>
        <x:v>14</x:v>
      </x:c>
      <x:c r="L23" s="14" t="n">
        <x:f>IF(C23-J23=0,0,(G23+H23)/(C23-J23))</x:f>
        <x:v>0</x:v>
      </x:c>
      <x:c r="M23" s="3" t="str">
        <x:v>S14;S16;S20</x:v>
      </x:c>
    </x:row>
    <x:row r="24" ht="36" customHeight="1">
      <x:c r="A24" s="3" t="str">
        <x:v>UI</x:v>
      </x:c>
      <x:c r="B24" s="3" t="str">
        <x:v>导航与通用交互</x:v>
      </x:c>
      <x:c r="C24" s="13" t="n">
        <x:f>COUNTA('测试用例'!A378:A389)</x:f>
        <x:v>12</x:v>
      </x:c>
      <x:c r="D24" s="13" t="n">
        <x:f>COUNTIF('测试用例'!D378:D389,"P0")</x:f>
        <x:v>2</x:v>
      </x:c>
      <x:c r="E24" s="13" t="n">
        <x:f>COUNTIF('测试用例'!D378:D389,"P1")</x:f>
        <x:v>7</x:v>
      </x:c>
      <x:c r="F24" s="13" t="n">
        <x:f>COUNTIF('测试用例'!D378:D389,"P2")</x:f>
        <x:v>3</x:v>
      </x:c>
      <x:c r="G24" s="13" t="n">
        <x:f>COUNTIF('测试用例'!M378:M389,"通过")</x:f>
        <x:v>0</x:v>
      </x:c>
      <x:c r="H24" s="13" t="n">
        <x:f>COUNTIF('测试用例'!M378:M389,"失败")</x:f>
        <x:v>0</x:v>
      </x:c>
      <x:c r="I24" s="13" t="n">
        <x:f>COUNTIF('测试用例'!M378:M389,"阻塞")</x:f>
        <x:v>0</x:v>
      </x:c>
      <x:c r="J24" s="13" t="n">
        <x:f>COUNTIF('测试用例'!M378:M389,"不适用")</x:f>
        <x:v>0</x:v>
      </x:c>
      <x:c r="K24" s="13" t="n">
        <x:f>COUNTIF('测试用例'!M378:M389,"未执行")</x:f>
        <x:v>12</x:v>
      </x:c>
      <x:c r="L24" s="14" t="n">
        <x:f>IF(C24-J24=0,0,(G24+H24)/(C24-J24))</x:f>
        <x:v>0</x:v>
      </x:c>
      <x:c r="M24" s="3" t="str">
        <x:v>S01;S21</x:v>
      </x:c>
    </x:row>
    <x:row r="25" ht="36" customHeight="1">
      <x:c r="A25" s="3" t="str">
        <x:v>OPS</x:v>
      </x:c>
      <x:c r="B25" s="3" t="str">
        <x:v>部署配置与运维验收</x:v>
      </x:c>
      <x:c r="C25" s="13" t="n">
        <x:f>COUNTA('测试用例'!A390:A399)</x:f>
        <x:v>10</x:v>
      </x:c>
      <x:c r="D25" s="13" t="n">
        <x:f>COUNTIF('测试用例'!D390:D399,"P0")</x:f>
        <x:v>9</x:v>
      </x:c>
      <x:c r="E25" s="13" t="n">
        <x:f>COUNTIF('测试用例'!D390:D399,"P1")</x:f>
        <x:v>1</x:v>
      </x:c>
      <x:c r="F25" s="13" t="n">
        <x:f>COUNTIF('测试用例'!D390:D399,"P2")</x:f>
        <x:v>0</x:v>
      </x:c>
      <x:c r="G25" s="13" t="n">
        <x:f>COUNTIF('测试用例'!M390:M399,"通过")</x:f>
        <x:v>0</x:v>
      </x:c>
      <x:c r="H25" s="13" t="n">
        <x:f>COUNTIF('测试用例'!M390:M399,"失败")</x:f>
        <x:v>0</x:v>
      </x:c>
      <x:c r="I25" s="13" t="n">
        <x:f>COUNTIF('测试用例'!M390:M399,"阻塞")</x:f>
        <x:v>0</x:v>
      </x:c>
      <x:c r="J25" s="13" t="n">
        <x:f>COUNTIF('测试用例'!M390:M399,"不适用")</x:f>
        <x:v>0</x:v>
      </x:c>
      <x:c r="K25" s="13" t="n">
        <x:f>COUNTIF('测试用例'!M390:M399,"未执行")</x:f>
        <x:v>10</x:v>
      </x:c>
      <x:c r="L25" s="14" t="n">
        <x:f>IF(C25-J25=0,0,(G25+H25)/(C25-J25))</x:f>
        <x:v>0</x:v>
      </x:c>
      <x:c r="M25" s="3" t="str">
        <x:v>S20;S22</x:v>
      </x:c>
    </x:row>
    <x:row r="26" ht="36" customHeight="1">
      <x:c r="A26" s="18" t="str">
        <x:v>TOTAL</x:v>
      </x:c>
      <x:c r="B26" s="18" t="str">
        <x:v>合计</x:v>
      </x:c>
      <x:c r="C26" s="19" t="n">
        <x:f>SUM(C5:C25)</x:f>
        <x:v>395</x:v>
      </x:c>
      <x:c r="D26" s="19" t="n">
        <x:f>SUM(D5:D25)</x:f>
        <x:v>266</x:v>
      </x:c>
      <x:c r="E26" s="19" t="n">
        <x:f>SUM(E5:E25)</x:f>
        <x:v>118</x:v>
      </x:c>
      <x:c r="F26" s="19" t="n">
        <x:f>SUM(F5:F25)</x:f>
        <x:v>11</x:v>
      </x:c>
      <x:c r="G26" s="19" t="n">
        <x:f>SUM(G5:G25)</x:f>
        <x:v>0</x:v>
      </x:c>
      <x:c r="H26" s="19" t="n">
        <x:f>SUM(H5:H25)</x:f>
        <x:v>2</x:v>
      </x:c>
      <x:c r="I26" s="19" t="n">
        <x:f>SUM(I5:I25)</x:f>
        <x:v>0</x:v>
      </x:c>
      <x:c r="J26" s="19" t="n">
        <x:f>SUM(J5:J25)</x:f>
        <x:v>0</x:v>
      </x:c>
      <x:c r="K26" s="19" t="n">
        <x:f>SUM(K5:K25)</x:f>
        <x:v>393</x:v>
      </x:c>
      <x:c r="L26" s="20" t="n">
        <x:f>IF(C26-J26=0,0,(G26+H26)/(C26-J26))</x:f>
        <x:v>0.005063291139240506</x:v>
      </x:c>
      <x:c r="M26" s="18" t="str">
        <x:v>统计范围为详细测试用例</x:v>
      </x:c>
    </x:row>
  </x:sheetData>
  <x:pageMargins left="0.7" right="0.7" top="0.75" bottom="0.75" header="0.3" footer="0.3"/>
  <x:tableParts count="1">
    <x:tablePart xmlns:r="http://schemas.openxmlformats.org/officeDocument/2006/relationships" r:id="Re77fcb2c0da246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40" hidden="0" customWidth="1"/>
    <x:col min="4" max="4" width="10" hidden="0" customWidth="1"/>
    <x:col min="5" max="5" width="13" hidden="0" customWidth="1"/>
    <x:col min="6" max="6" width="31" hidden="0" customWidth="1"/>
    <x:col min="7" max="7" width="52" hidden="0" customWidth="1"/>
    <x:col min="8" max="8" width="56" hidden="0" customWidth="1"/>
    <x:col min="9" max="9" width="70" hidden="0" customWidth="1"/>
    <x:col min="10" max="10" width="78" hidden="0" customWidth="1"/>
    <x:col min="11" max="11" width="20" hidden="0" customWidth="1"/>
    <x:col min="12" max="12" width="42" hidden="0" customWidth="1"/>
    <x:col min="13" max="13" width="14" hidden="0" customWidth="1"/>
    <x:col min="14" max="14" width="58" hidden="0" customWidth="1"/>
    <x:col min="15" max="15" width="22" hidden="0" customWidth="1"/>
    <x:col min="16" max="16" width="24" hidden="0" customWidth="1"/>
  </x:cols>
  <x:sheetData>
    <x:row r="1" ht="30" customHeight="1">
      <x:c r="A1" s="5" t="str">
        <x:v>详细测试用例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7" t="str">
        <x:v>395条 · 21个模块 · 筛选优先级、类型、实现边界或执行状态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32" customHeight="1">
      <x:c r="A4" s="11" t="str">
        <x:v>用例编号</x:v>
      </x:c>
      <x:c r="B4" s="11" t="str">
        <x:v>功能模块</x:v>
      </x:c>
      <x:c r="C4" s="11" t="str">
        <x:v>用例标题</x:v>
      </x:c>
      <x:c r="D4" s="11" t="str">
        <x:v>优先级</x:v>
      </x:c>
      <x:c r="E4" s="11" t="str">
        <x:v>测试类型</x:v>
      </x:c>
      <x:c r="F4" s="11" t="str">
        <x:v>执行环境</x:v>
      </x:c>
      <x:c r="G4" s="11" t="str">
        <x:v>前置条件</x:v>
      </x:c>
      <x:c r="H4" s="11" t="str">
        <x:v>测试数据</x:v>
      </x:c>
      <x:c r="I4" s="11" t="str">
        <x:v>操作步骤</x:v>
      </x:c>
      <x:c r="J4" s="11" t="str">
        <x:v>预期结果</x:v>
      </x:c>
      <x:c r="K4" s="11" t="str">
        <x:v>依据编号</x:v>
      </x:c>
      <x:c r="L4" s="11" t="str">
        <x:v>实现边界</x:v>
      </x:c>
      <x:c r="M4" s="11" t="str">
        <x:v>执行状态</x:v>
      </x:c>
      <x:c r="N4" s="11" t="str">
        <x:v>实际结果</x:v>
      </x:c>
      <x:c r="O4" s="11" t="str">
        <x:v>缺陷编号</x:v>
      </x:c>
      <x:c r="P4" s="11" t="str">
        <x:v>执行人/日期</x:v>
      </x:c>
    </x:row>
    <x:row r="5" ht="57" customHeight="1">
      <x:c r="A5" s="3" t="str">
        <x:v>ACC-001</x:v>
      </x:c>
      <x:c r="B5" s="3" t="str">
        <x:v>账号与登录</x:v>
      </x:c>
      <x:c r="C5" s="3" t="str">
        <x:v>管理员创建普通用户</x:v>
      </x:c>
      <x:c r="D5" s="3" t="str">
        <x:v>P0</x:v>
      </x:c>
      <x:c r="E5" s="3" t="str">
        <x:v>正向</x:v>
      </x:c>
      <x:c r="F5" s="3" t="str">
        <x:v>Web + API + Keycloak</x:v>
      </x:c>
      <x:c r="G5" s="3" t="str">
        <x:v>准备管理员 Admin、普通用户 A/B；使用独立浏览器会话和非生产 Keycloak。</x:v>
      </x:c>
      <x:c r="H5" s="3" t="str">
        <x:v>username=qa_a，显示名=测试用户A，email=qa_a@example.test</x:v>
      </x:c>
      <x:c r="I5" s="3" t="str">
        <x:v>1. 进入用户管理
2. 填写三个必填字段并创建
3. 记录一次性临时密码并刷新列表</x:v>
      </x:c>
      <x:c r="J5" s="3" t="str">
        <x:v>1. 用户创建成功且 enabled=true
2. 仅创建响应展示临时密码
3. 列表有新用户且不回显密码</x:v>
      </x:c>
      <x:c r="K5" s="3" t="str">
        <x:v>S01;S04;S05</x:v>
      </x:c>
      <x:c r="L5" s="3" t="str">
        <x:v>实现路径存在，待执行验收</x:v>
      </x:c>
      <x:c r="M5" s="12" t="str">
        <x:v>未执行</x:v>
      </x:c>
      <x:c r="N5" s="12" t="str"/>
      <x:c r="O5" s="12" t="str"/>
      <x:c r="P5" s="12" t="str"/>
    </x:row>
    <x:row r="6" ht="57" customHeight="1">
      <x:c r="A6" s="3" t="str">
        <x:v>ACC-002</x:v>
      </x:c>
      <x:c r="B6" s="3" t="str">
        <x:v>账号与登录</x:v>
      </x:c>
      <x:c r="C6" s="3" t="str">
        <x:v>创建账号必填与邮件格式</x:v>
      </x:c>
      <x:c r="D6" s="3" t="str">
        <x:v>P1</x:v>
      </x:c>
      <x:c r="E6" s="3" t="str">
        <x:v>边界</x:v>
      </x:c>
      <x:c r="F6" s="3" t="str">
        <x:v>Web + API + Keycloak</x:v>
      </x:c>
      <x:c r="G6" s="3" t="str">
        <x:v>准备管理员 Admin、普通用户 A/B；使用独立浏览器会话和非生产 Keycloak。</x:v>
      </x:c>
      <x:c r="H6" s="3" t="str">
        <x:v>分别缺少用户名、显示名、邮箱；非法邮箱 qa_at_example</x:v>
      </x:c>
      <x:c r="I6" s="3" t="str">
        <x:v>1. 逐项提交无效数据
2. 检查字段反馈与响应
3. 查询用户列表</x:v>
      </x:c>
      <x:c r="J6" s="3" t="str">
        <x:v>1. 无效输入被拒绝且保留表单
2. 不生成不完整账号或临时密码</x:v>
      </x:c>
      <x:c r="K6" s="3" t="str">
        <x:v>S01;S04;S05</x:v>
      </x:c>
      <x:c r="L6" s="3" t="str">
        <x:v>实现路径存在，待执行验收</x:v>
      </x:c>
      <x:c r="M6" s="12" t="str">
        <x:v>未执行</x:v>
      </x:c>
      <x:c r="N6" s="12" t="str"/>
      <x:c r="O6" s="12" t="str"/>
      <x:c r="P6" s="12" t="str"/>
    </x:row>
    <x:row r="7" ht="42" customHeight="1">
      <x:c r="A7" s="3" t="str">
        <x:v>ACC-003</x:v>
      </x:c>
      <x:c r="B7" s="3" t="str">
        <x:v>账号与登录</x:v>
      </x:c>
      <x:c r="C7" s="3" t="str">
        <x:v>重复用户名冲突</x:v>
      </x:c>
      <x:c r="D7" s="3" t="str">
        <x:v>P1</x:v>
      </x:c>
      <x:c r="E7" s="3" t="str">
        <x:v>异常</x:v>
      </x:c>
      <x:c r="F7" s="3" t="str">
        <x:v>Web + API + Keycloak</x:v>
      </x:c>
      <x:c r="G7" s="3" t="str">
        <x:v>准备管理员 Admin、普通用户 A/B；使用独立浏览器会话和非生产 Keycloak。</x:v>
      </x:c>
      <x:c r="H7" s="3" t="str">
        <x:v>已存在用户名 qa_a</x:v>
      </x:c>
      <x:c r="I7" s="3" t="str">
        <x:v>1. 再次创建 qa_a
2. 改为唯一用户名后重试</x:v>
      </x:c>
      <x:c r="J7" s="3" t="str">
        <x:v>1. 重名请求明确失败且不覆盖已有账号
2. 修改后可正常创建</x:v>
      </x:c>
      <x:c r="K7" s="3" t="str">
        <x:v>S01;S04;S05</x:v>
      </x:c>
      <x:c r="L7" s="3" t="str">
        <x:v>实现路径存在，待执行验收</x:v>
      </x:c>
      <x:c r="M7" s="12" t="str">
        <x:v>失败</x:v>
      </x:c>
      <x:c r="N7" s="12" t="str">
        <x:v>失败：重复用户名返回 HTTP 500，预期为可识别的冲突错误（当前领域映射为 HTTP 412）。</x:v>
      </x:c>
      <x:c r="O7" s="12" t="str">
        <x:v>BUG-E2E-001</x:v>
      </x:c>
      <x:c r="P7" s="12" t="str">
        <x:v>Codex / 2026-09-06 17:21 Asia/Shanghai</x:v>
      </x:c>
    </x:row>
    <x:row r="8" ht="57" customHeight="1">
      <x:c r="A8" s="3" t="str">
        <x:v>ACC-004</x:v>
      </x:c>
      <x:c r="B8" s="3" t="str">
        <x:v>账号与登录</x:v>
      </x:c>
      <x:c r="C8" s="3" t="str">
        <x:v>首次登录强制改密</x:v>
      </x:c>
      <x:c r="D8" s="3" t="str">
        <x:v>P0</x:v>
      </x:c>
      <x:c r="E8" s="3" t="str">
        <x:v>正向</x:v>
      </x:c>
      <x:c r="F8" s="3" t="str">
        <x:v>Web + API + Keycloak</x:v>
      </x:c>
      <x:c r="G8" s="3" t="str">
        <x:v>准备管理员 Admin、普通用户 A/B；使用独立浏览器会话和非生产 Keycloak。</x:v>
      </x:c>
      <x:c r="H8" s="3" t="str">
        <x:v>新账号与创建时临时密码</x:v>
      </x:c>
      <x:c r="I8" s="3" t="str">
        <x:v>1. 使用临时密码登录 Keycloak
2. 完成首次改密
3. 返回 Agent Workspace</x:v>
      </x:c>
      <x:c r="J8" s="3" t="str">
        <x:v>1. 首次登录必须完成改密
2. 成功后进入 Sessions
3. 平台业务数据不保存登录密码</x:v>
      </x:c>
      <x:c r="K8" s="3" t="str">
        <x:v>S01;S04;S05</x:v>
      </x:c>
      <x:c r="L8" s="3" t="str">
        <x:v>实现路径存在，待执行验收</x:v>
      </x:c>
      <x:c r="M8" s="12" t="str">
        <x:v>未执行</x:v>
      </x:c>
      <x:c r="N8" s="12" t="str"/>
      <x:c r="O8" s="12" t="str"/>
      <x:c r="P8" s="12" t="str"/>
    </x:row>
    <x:row r="9" ht="57" customHeight="1">
      <x:c r="A9" s="3" t="str">
        <x:v>ACC-005</x:v>
      </x:c>
      <x:c r="B9" s="3" t="str">
        <x:v>账号与登录</x:v>
      </x:c>
      <x:c r="C9" s="3" t="str">
        <x:v>管理员重置密码</x:v>
      </x:c>
      <x:c r="D9" s="3" t="str">
        <x:v>P0</x:v>
      </x:c>
      <x:c r="E9" s="3" t="str">
        <x:v>正向</x:v>
      </x:c>
      <x:c r="F9" s="3" t="str">
        <x:v>Web + API + Keycloak</x:v>
      </x:c>
      <x:c r="G9" s="3" t="str">
        <x:v>准备管理员 Admin、普通用户 A/B；使用独立浏览器会话和非生产 Keycloak。</x:v>
      </x:c>
      <x:c r="H9" s="3" t="str">
        <x:v>A 已完成首次登录</x:v>
      </x:c>
      <x:c r="I9" s="3" t="str">
        <x:v>1. 管理员重置 A 密码
2. 记录一次性新密码
3. A 使用重置密码登录并改密</x:v>
      </x:c>
      <x:c r="J9" s="3" t="str">
        <x:v>1. 返回新临时密码且只显示一次
2. 旧密码不可继续登录
3. 新密码要求更新</x:v>
      </x:c>
      <x:c r="K9" s="3" t="str">
        <x:v>S01;S04;S05</x:v>
      </x:c>
      <x:c r="L9" s="3" t="str">
        <x:v>实现路径存在，待执行验收</x:v>
      </x:c>
      <x:c r="M9" s="12" t="str">
        <x:v>未执行</x:v>
      </x:c>
      <x:c r="N9" s="12" t="str"/>
      <x:c r="O9" s="12" t="str"/>
      <x:c r="P9" s="12" t="str"/>
    </x:row>
    <x:row r="10" ht="57" customHeight="1">
      <x:c r="A10" s="3" t="str">
        <x:v>ACC-006</x:v>
      </x:c>
      <x:c r="B10" s="3" t="str">
        <x:v>账号与登录</x:v>
      </x:c>
      <x:c r="C10" s="3" t="str">
        <x:v>停用用户的访问控制</x:v>
      </x:c>
      <x:c r="D10" s="3" t="str">
        <x:v>P0</x:v>
      </x:c>
      <x:c r="E10" s="3" t="str">
        <x:v>权限</x:v>
      </x:c>
      <x:c r="F10" s="3" t="str">
        <x:v>Web + API + Keycloak</x:v>
      </x:c>
      <x:c r="G10" s="3" t="str">
        <x:v>准备管理员 Admin、普通用户 A/B；使用独立浏览器会话和非生产 Keycloak。</x:v>
      </x:c>
      <x:c r="H10" s="3" t="str">
        <x:v>A 已登录并持有有效 Access Token</x:v>
      </x:c>
      <x:c r="I10" s="3" t="str">
        <x:v>1. 管理员停用 A
2. A 发起产品 API 请求并刷新页面
3. 尝试重新登录</x:v>
      </x:c>
      <x:c r="J10" s="3" t="str">
        <x:v>1. 已有登录访问被阻断
2. 无法继续读取私有资源或登录
3. 管理员仍能查看账号元数据</x:v>
      </x:c>
      <x:c r="K10" s="3" t="str">
        <x:v>S01;S04;S05</x:v>
      </x:c>
      <x:c r="L10" s="3" t="str">
        <x:v>实现路径存在，待执行验收</x:v>
      </x:c>
      <x:c r="M10" s="12" t="str">
        <x:v>未执行</x:v>
      </x:c>
      <x:c r="N10" s="12" t="str"/>
      <x:c r="O10" s="12" t="str"/>
      <x:c r="P10" s="12" t="str"/>
    </x:row>
    <x:row r="11" ht="72" customHeight="1">
      <x:c r="A11" s="3" t="str">
        <x:v>ACC-007</x:v>
      </x:c>
      <x:c r="B11" s="3" t="str">
        <x:v>账号与登录</x:v>
      </x:c>
      <x:c r="C11" s="3" t="str">
        <x:v>停用用户停止执行入口</x:v>
      </x:c>
      <x:c r="D11" s="3" t="str">
        <x:v>P0</x:v>
      </x:c>
      <x:c r="E11" s="3" t="str">
        <x:v>权限</x:v>
      </x:c>
      <x:c r="F11" s="3" t="str">
        <x:v>Web + API + Keycloak</x:v>
      </x:c>
      <x:c r="G11" s="3" t="str">
        <x:v>准备管理员 Admin、普通用户 A/B；使用独立浏览器会话和非生产 Keycloak。</x:v>
      </x:c>
      <x:c r="H11" s="3" t="str">
        <x:v>A 有运行中 Session、Workflow、未来 Schedule 和 Workflow Token</x:v>
      </x:c>
      <x:c r="I11" s="3" t="str">
        <x:v>1. 停用 A
2. 观察运行中任务
3. 尝试 Token 调用并等待下一计划时刻</x:v>
      </x:c>
      <x:c r="J11" s="3" t="str">
        <x:v>1. 活动执行收到取消
2. 后续定时不启动
3. Workflow Token 被拒绝
4. 停用期间无新模型调用</x:v>
      </x:c>
      <x:c r="K11" s="3" t="str">
        <x:v>S01;S04;S05</x:v>
      </x:c>
      <x:c r="L11" s="3" t="str">
        <x:v>实现路径存在，待执行验收</x:v>
      </x:c>
      <x:c r="M11" s="12" t="str">
        <x:v>未执行</x:v>
      </x:c>
      <x:c r="N11" s="12" t="str"/>
      <x:c r="O11" s="12" t="str"/>
      <x:c r="P11" s="12" t="str"/>
    </x:row>
    <x:row r="12" ht="57" customHeight="1">
      <x:c r="A12" s="3" t="str">
        <x:v>ACC-008</x:v>
      </x:c>
      <x:c r="B12" s="3" t="str">
        <x:v>账号与登录</x:v>
      </x:c>
      <x:c r="C12" s="3" t="str">
        <x:v>重新启用普通用户</x:v>
      </x:c>
      <x:c r="D12" s="3" t="str">
        <x:v>P1</x:v>
      </x:c>
      <x:c r="E12" s="3" t="str">
        <x:v>正向</x:v>
      </x:c>
      <x:c r="F12" s="3" t="str">
        <x:v>Web + API + Keycloak</x:v>
      </x:c>
      <x:c r="G12" s="3" t="str">
        <x:v>准备管理员 Admin、普通用户 A/B；使用独立浏览器会话和非生产 Keycloak。</x:v>
      </x:c>
      <x:c r="H12" s="3" t="str">
        <x:v>A 已停用且有历史资源</x:v>
      </x:c>
      <x:c r="I12" s="3" t="str">
        <x:v>1. 管理员启用 A
2. A 重新登录
3. 查看原有 Sessions 与 Workflows</x:v>
      </x:c>
      <x:c r="J12" s="3" t="str">
        <x:v>1. 可以正常登录
2. 原有私有资源仍归 A
3. 不会恢复已取消执行</x:v>
      </x:c>
      <x:c r="K12" s="3" t="str">
        <x:v>S01;S04;S05</x:v>
      </x:c>
      <x:c r="L12" s="3" t="str">
        <x:v>实现路径存在，待执行验收</x:v>
      </x:c>
      <x:c r="M12" s="12" t="str">
        <x:v>未执行</x:v>
      </x:c>
      <x:c r="N12" s="12" t="str"/>
      <x:c r="O12" s="12" t="str"/>
      <x:c r="P12" s="12" t="str"/>
    </x:row>
    <x:row r="13" ht="57" customHeight="1">
      <x:c r="A13" s="3" t="str">
        <x:v>ACC-009</x:v>
      </x:c>
      <x:c r="B13" s="3" t="str">
        <x:v>账号与登录</x:v>
      </x:c>
      <x:c r="C13" s="3" t="str">
        <x:v>普通用户不能管理账号</x:v>
      </x:c>
      <x:c r="D13" s="3" t="str">
        <x:v>P0</x:v>
      </x:c>
      <x:c r="E13" s="3" t="str">
        <x:v>权限</x:v>
      </x:c>
      <x:c r="F13" s="3" t="str">
        <x:v>Web + API + Keycloak</x:v>
      </x:c>
      <x:c r="G13" s="3" t="str">
        <x:v>准备管理员 Admin、普通用户 A/B；使用独立浏览器会话和非生产 Keycloak。</x:v>
      </x:c>
      <x:c r="H13" s="3" t="str">
        <x:v>以 A 登录</x:v>
      </x:c>
      <x:c r="I13" s="3" t="str">
        <x:v>1. 检查头像菜单
2. 直接调用列用户、创建、停用、重置 API</x:v>
      </x:c>
      <x:c r="J13" s="3" t="str">
        <x:v>1. 无用户管理入口
2. 所有管理员账号变更请求返回 403
3. 不泄漏用户列表</x:v>
      </x:c>
      <x:c r="K13" s="3" t="str">
        <x:v>S01;S04;S05</x:v>
      </x:c>
      <x:c r="L13" s="3" t="str">
        <x:v>实现路径存在，待执行验收</x:v>
      </x:c>
      <x:c r="M13" s="12" t="str">
        <x:v>未执行</x:v>
      </x:c>
      <x:c r="N13" s="12" t="str">
        <x:v>部分步骤证据：E2E-004 通过。完整结果见“E2E执行”。未执行全部原用例步骤，不据此标记整条通过。</x:v>
      </x:c>
      <x:c r="O13" s="12" t="str"/>
      <x:c r="P13" s="12" t="str">
        <x:v>Codex / 2026-09-06 17:21 Asia/Shanghai</x:v>
      </x:c>
    </x:row>
    <x:row r="14" ht="42" customHeight="1">
      <x:c r="A14" s="3" t="str">
        <x:v>ACC-010</x:v>
      </x:c>
      <x:c r="B14" s="3" t="str">
        <x:v>账号与登录</x:v>
      </x:c>
      <x:c r="C14" s="3" t="str">
        <x:v>管理员不能越权读取用户内容</x:v>
      </x:c>
      <x:c r="D14" s="3" t="str">
        <x:v>P0</x:v>
      </x:c>
      <x:c r="E14" s="3" t="str">
        <x:v>权限</x:v>
      </x:c>
      <x:c r="F14" s="3" t="str">
        <x:v>Web + API + Keycloak</x:v>
      </x:c>
      <x:c r="G14" s="3" t="str">
        <x:v>准备管理员 Admin、普通用户 A/B；使用独立浏览器会话和非生产 Keycloak。</x:v>
      </x:c>
      <x:c r="H14" s="3" t="str">
        <x:v>A 的 Session、Workflow、Expert、Skill ID</x:v>
      </x:c>
      <x:c r="I14" s="3" t="str">
        <x:v>1. 管理员使用 A 的资源 ID 查询和修改
2. 对比随机不存在 ID 响应</x:v>
      </x:c>
      <x:c r="J14" s="3" t="str">
        <x:v>1. 跨所有者资源返回不暴露存在性的 404
2. 管理员权限不扩大内容访问</x:v>
      </x:c>
      <x:c r="K14" s="3" t="str">
        <x:v>S01;S04;S05</x:v>
      </x:c>
      <x:c r="L14" s="3" t="str">
        <x:v>实现路径存在，待执行验收</x:v>
      </x:c>
      <x:c r="M14" s="12" t="str">
        <x:v>未执行</x:v>
      </x:c>
      <x:c r="N14" s="12" t="str">
        <x:v>部分步骤证据：E2E-008 通过；E2E-010 通过。完整结果见“E2E执行”。未执行全部原用例步骤，不据此标记整条通过。</x:v>
      </x:c>
      <x:c r="O14" s="12" t="str"/>
      <x:c r="P14" s="12" t="str">
        <x:v>Codex / 2026-09-06 17:21 Asia/Shanghai</x:v>
      </x:c>
    </x:row>
    <x:row r="15" ht="42" customHeight="1">
      <x:c r="A15" s="3" t="str">
        <x:v>ACC-011</x:v>
      </x:c>
      <x:c r="B15" s="3" t="str">
        <x:v>账号与登录</x:v>
      </x:c>
      <x:c r="C15" s="3" t="str">
        <x:v>管理员拥有自己的工作区</x:v>
      </x:c>
      <x:c r="D15" s="3" t="str">
        <x:v>P1</x:v>
      </x:c>
      <x:c r="E15" s="3" t="str">
        <x:v>正向</x:v>
      </x:c>
      <x:c r="F15" s="3" t="str">
        <x:v>Web + API + Keycloak</x:v>
      </x:c>
      <x:c r="G15" s="3" t="str">
        <x:v>准备管理员 Admin、普通用户 A/B；使用独立浏览器会话和非生产 Keycloak。</x:v>
      </x:c>
      <x:c r="H15" s="3" t="str">
        <x:v>Admin 配置有效模型和积分</x:v>
      </x:c>
      <x:c r="I15" s="3" t="str">
        <x:v>1. Admin 创建自己的 Session 与 Workflow
2. 切换用户管理再返回</x:v>
      </x:c>
      <x:c r="J15" s="3" t="str">
        <x:v>1. 私有业务功能可用
2. 管理员自己的积分规则与普通用户一致</x:v>
      </x:c>
      <x:c r="K15" s="3" t="str">
        <x:v>S01;S04;S05</x:v>
      </x:c>
      <x:c r="L15" s="3" t="str">
        <x:v>实现路径存在，待执行验收</x:v>
      </x:c>
      <x:c r="M15" s="12" t="str">
        <x:v>未执行</x:v>
      </x:c>
      <x:c r="N15" s="12" t="str"/>
      <x:c r="O15" s="12" t="str"/>
      <x:c r="P15" s="12" t="str"/>
    </x:row>
    <x:row r="16" ht="57" customHeight="1">
      <x:c r="A16" s="3" t="str">
        <x:v>ACC-012</x:v>
      </x:c>
      <x:c r="B16" s="3" t="str">
        <x:v>账号与登录</x:v>
      </x:c>
      <x:c r="C16" s="3" t="str">
        <x:v>OIDC 使用 Authorization Code 和 PKCE</x:v>
      </x:c>
      <x:c r="D16" s="3" t="str">
        <x:v>P0</x:v>
      </x:c>
      <x:c r="E16" s="3" t="str">
        <x:v>安全</x:v>
      </x:c>
      <x:c r="F16" s="3" t="str">
        <x:v>Web + API + Keycloak</x:v>
      </x:c>
      <x:c r="G16" s="3" t="str">
        <x:v>准备管理员 Admin、普通用户 A/B；使用独立浏览器会话和非生产 Keycloak。</x:v>
      </x:c>
      <x:c r="H16" s="3" t="str">
        <x:v>合法同源回调 URL</x:v>
      </x:c>
      <x:c r="I16" s="3" t="str">
        <x:v>1. 点击登录并检查授权请求
2. 完成授权码回调
3. 检查回调 URL 清理</x:v>
      </x:c>
      <x:c r="J16" s="3" t="str">
        <x:v>1. 使用 code 与 PKCE
2. 敏感回调参数被清理
3. 不会将授权码当产品凭据</x:v>
      </x:c>
      <x:c r="K16" s="3" t="str">
        <x:v>S01;S04;S05</x:v>
      </x:c>
      <x:c r="L16" s="3" t="str">
        <x:v>实现路径存在，待执行验收</x:v>
      </x:c>
      <x:c r="M16" s="12" t="str">
        <x:v>未执行</x:v>
      </x:c>
      <x:c r="N16" s="12" t="str">
        <x:v>部分步骤证据：E2E-001 通过。完整结果见“E2E执行”。未执行全部原用例步骤，不据此标记整条通过。</x:v>
      </x:c>
      <x:c r="O16" s="12" t="str"/>
      <x:c r="P16" s="12" t="str">
        <x:v>Codex / 2026-09-06 17:21 Asia/Shanghai</x:v>
      </x:c>
    </x:row>
    <x:row r="17" ht="42" customHeight="1">
      <x:c r="A17" s="3" t="str">
        <x:v>ACC-013</x:v>
      </x:c>
      <x:c r="B17" s="3" t="str">
        <x:v>账号与登录</x:v>
      </x:c>
      <x:c r="C17" s="3" t="str">
        <x:v>非法回调与配置缺失拒绝登录</x:v>
      </x:c>
      <x:c r="D17" s="3" t="str">
        <x:v>P0</x:v>
      </x:c>
      <x:c r="E17" s="3" t="str">
        <x:v>安全</x:v>
      </x:c>
      <x:c r="F17" s="3" t="str">
        <x:v>Web + API + Keycloak</x:v>
      </x:c>
      <x:c r="G17" s="3" t="str">
        <x:v>准备管理员 Admin、普通用户 A/B；使用独立浏览器会话和非生产 Keycloak。</x:v>
      </x:c>
      <x:c r="H17" s="3" t="str">
        <x:v>缺失 OIDC 配置；外域 redirect_uri；错误 state</x:v>
      </x:c>
      <x:c r="I17" s="3" t="str">
        <x:v>1. 分别启动登录或回调流程
2. 检查应用访问状态和安全提示</x:v>
      </x:c>
      <x:c r="J17" s="3" t="str">
        <x:v>1. 配置不完整或回调不合法时 fail closed
2. 不会进入已登录状态或向外域发送令牌</x:v>
      </x:c>
      <x:c r="K17" s="3" t="str">
        <x:v>S01;S04;S05</x:v>
      </x:c>
      <x:c r="L17" s="3" t="str">
        <x:v>实现路径存在，待执行验收</x:v>
      </x:c>
      <x:c r="M17" s="12" t="str">
        <x:v>未执行</x:v>
      </x:c>
      <x:c r="N17" s="12" t="str">
        <x:v>部分步骤证据：E2E-002 通过；E2E-003 通过。完整结果见“E2E执行”。未执行全部原用例步骤，不据此标记整条通过。</x:v>
      </x:c>
      <x:c r="O17" s="12" t="str"/>
      <x:c r="P17" s="12" t="str">
        <x:v>Codex / 2026-09-06 17:21 Asia/Shanghai</x:v>
      </x:c>
    </x:row>
    <x:row r="18" ht="57" customHeight="1">
      <x:c r="A18" s="3" t="str">
        <x:v>ACC-014</x:v>
      </x:c>
      <x:c r="B18" s="3" t="str">
        <x:v>账号与登录</x:v>
      </x:c>
      <x:c r="C18" s="3" t="str">
        <x:v>刷新浏览器保持登录</x:v>
      </x:c>
      <x:c r="D18" s="3" t="str">
        <x:v>P1</x:v>
      </x:c>
      <x:c r="E18" s="3" t="str">
        <x:v>正向</x:v>
      </x:c>
      <x:c r="F18" s="3" t="str">
        <x:v>Web + API + Keycloak</x:v>
      </x:c>
      <x:c r="G18" s="3" t="str">
        <x:v>准备管理员 Admin、普通用户 A/B；使用独立浏览器会话和非生产 Keycloak。</x:v>
      </x:c>
      <x:c r="H18" s="3" t="str">
        <x:v>72 小时窗口内且可续期的 OIDC 会话</x:v>
      </x:c>
      <x:c r="I18" s="3" t="str">
        <x:v>1. 登录后刷新页面
2. 关闭重开浏览器标签
3. 发起认证请求</x:v>
      </x:c>
      <x:c r="J18" s="3" t="str">
        <x:v>1. 有效会话恢复且能读取自己的数据
2. 不会要求每次页面刷新都重新登录</x:v>
      </x:c>
      <x:c r="K18" s="3" t="str">
        <x:v>S01;S04;S05</x:v>
      </x:c>
      <x:c r="L18" s="3" t="str">
        <x:v>实现路径存在，待执行验收</x:v>
      </x:c>
      <x:c r="M18" s="12" t="str">
        <x:v>未执行</x:v>
      </x:c>
      <x:c r="N18" s="12" t="str">
        <x:v>部分步骤证据：E2E-001 通过。完整结果见“E2E执行”。未执行全部原用例步骤，不据此标记整条通过。</x:v>
      </x:c>
      <x:c r="O18" s="12" t="str"/>
      <x:c r="P18" s="12" t="str">
        <x:v>Codex / 2026-09-06 17:21 Asia/Shanghai</x:v>
      </x:c>
    </x:row>
    <x:row r="19" ht="57" customHeight="1">
      <x:c r="A19" s="3" t="str">
        <x:v>ACC-015</x:v>
      </x:c>
      <x:c r="B19" s="3" t="str">
        <x:v>账号与登录</x:v>
      </x:c>
      <x:c r="C19" s="3" t="str">
        <x:v>短期 Access Token 自动续期</x:v>
      </x:c>
      <x:c r="D19" s="3" t="str">
        <x:v>P0</x:v>
      </x:c>
      <x:c r="E19" s="3" t="str">
        <x:v>恢复</x:v>
      </x:c>
      <x:c r="F19" s="3" t="str">
        <x:v>Web + API + Keycloak</x:v>
      </x:c>
      <x:c r="G19" s="3" t="str">
        <x:v>准备管理员 Admin、普通用户 A/B；使用独立浏览器会话和非生产 Keycloak。</x:v>
      </x:c>
      <x:c r="H19" s="3" t="str">
        <x:v>可控时间与即将过期 Access Token</x:v>
      </x:c>
      <x:c r="I19" s="3" t="str">
        <x:v>1. 令 Access Token 到期
2. 触发续期
3. 再调用产品 API</x:v>
      </x:c>
      <x:c r="J19" s="3" t="str">
        <x:v>1. 续期成功后使用新 Token
2. 不会继续发送过期 Token
3. 业务页面保持可用</x:v>
      </x:c>
      <x:c r="K19" s="3" t="str">
        <x:v>S01;S04;S05</x:v>
      </x:c>
      <x:c r="L19" s="3" t="str">
        <x:v>实现路径存在，待执行验收</x:v>
      </x:c>
      <x:c r="M19" s="12" t="str">
        <x:v>未执行</x:v>
      </x:c>
      <x:c r="N19" s="12" t="str"/>
      <x:c r="O19" s="12" t="str"/>
      <x:c r="P19" s="12" t="str"/>
    </x:row>
    <x:row r="20" ht="57" customHeight="1">
      <x:c r="A20" s="3" t="str">
        <x:v>ACC-016</x:v>
      </x:c>
      <x:c r="B20" s="3" t="str">
        <x:v>账号与登录</x:v>
      </x:c>
      <x:c r="C20" s="3" t="str">
        <x:v>72 小时登录窗口到期</x:v>
      </x:c>
      <x:c r="D20" s="3" t="str">
        <x:v>P1</x:v>
      </x:c>
      <x:c r="E20" s="3" t="str">
        <x:v>边界</x:v>
      </x:c>
      <x:c r="F20" s="3" t="str">
        <x:v>Web + API + Keycloak</x:v>
      </x:c>
      <x:c r="G20" s="3" t="str">
        <x:v>准备管理员 Admin、普通用户 A/B；使用独立浏览器会话和非生产 Keycloak。</x:v>
      </x:c>
      <x:c r="H20" s="3" t="str">
        <x:v>登录建立时间为 T，测试 T+72h 前后</x:v>
      </x:c>
      <x:c r="I20" s="3" t="str">
        <x:v>1. 在窗口结束前访问
2. 推进时钟到窗口后并刷新
3. 尝试调用 API</x:v>
      </x:c>
      <x:c r="J20" s="3" t="str">
        <x:v>1. 窗口内按续期规则工作
2. 窗口到期后需重新登录
3. 不无限延长浏览器会话</x:v>
      </x:c>
      <x:c r="K20" s="3" t="str">
        <x:v>S01;S04;S05</x:v>
      </x:c>
      <x:c r="L20" s="3" t="str">
        <x:v>实现路径存在，待执行验收</x:v>
      </x:c>
      <x:c r="M20" s="12" t="str">
        <x:v>未执行</x:v>
      </x:c>
      <x:c r="N20" s="12" t="str"/>
      <x:c r="O20" s="12" t="str"/>
      <x:c r="P20" s="12" t="str"/>
    </x:row>
    <x:row r="21" ht="57" customHeight="1">
      <x:c r="A21" s="3" t="str">
        <x:v>ACC-017</x:v>
      </x:c>
      <x:c r="B21" s="3" t="str">
        <x:v>账号与登录</x:v>
      </x:c>
      <x:c r="C21" s="3" t="str">
        <x:v>主动退出与失败退出清理</x:v>
      </x:c>
      <x:c r="D21" s="3" t="str">
        <x:v>P0</x:v>
      </x:c>
      <x:c r="E21" s="3" t="str">
        <x:v>安全</x:v>
      </x:c>
      <x:c r="F21" s="3" t="str">
        <x:v>Web + API + Keycloak</x:v>
      </x:c>
      <x:c r="G21" s="3" t="str">
        <x:v>准备管理员 Admin、普通用户 A/B；使用独立浏览器会话和非生产 Keycloak。</x:v>
      </x:c>
      <x:c r="H21" s="3" t="str">
        <x:v>已登录并加载私有内容；模拟身份服务退出失败</x:v>
      </x:c>
      <x:c r="I21" s="3" t="str">
        <x:v>1. 点击退出
2. 检查页面和客户端认证状态
3. 再次访问私有接口</x:v>
      </x:c>
      <x:c r="J21" s="3" t="str">
        <x:v>1. 立即隐藏私有内容并清理活动登录态
2. 身份服务错误不保留可用旧会话</x:v>
      </x:c>
      <x:c r="K21" s="3" t="str">
        <x:v>S01;S04;S05</x:v>
      </x:c>
      <x:c r="L21" s="3" t="str">
        <x:v>实现路径存在，待执行验收</x:v>
      </x:c>
      <x:c r="M21" s="12" t="str">
        <x:v>未执行</x:v>
      </x:c>
      <x:c r="N21" s="12" t="str"/>
      <x:c r="O21" s="12" t="str"/>
      <x:c r="P21" s="12" t="str"/>
    </x:row>
    <x:row r="22" ht="57" customHeight="1">
      <x:c r="A22" s="3" t="str">
        <x:v>ACC-018</x:v>
      </x:c>
      <x:c r="B22" s="3" t="str">
        <x:v>账号与登录</x:v>
      </x:c>
      <x:c r="C22" s="3" t="str">
        <x:v>身份服务错误安全展示</x:v>
      </x:c>
      <x:c r="D22" s="3" t="str">
        <x:v>P1</x:v>
      </x:c>
      <x:c r="E22" s="3" t="str">
        <x:v>异常</x:v>
      </x:c>
      <x:c r="F22" s="3" t="str">
        <x:v>Web + API + Keycloak</x:v>
      </x:c>
      <x:c r="G22" s="3" t="str">
        <x:v>准备管理员 Admin、普通用户 A/B；使用独立浏览器会话和非生产 Keycloak。</x:v>
      </x:c>
      <x:c r="H22" s="3" t="str">
        <x:v>OIDC 回调失败或 /me 返回内部错误</x:v>
      </x:c>
      <x:c r="I22" s="3" t="str">
        <x:v>1. 模拟错误并完成回调
2. 检查提示和地址栏
3. 重新登录</x:v>
      </x:c>
      <x:c r="J22" s="3" t="str">
        <x:v>1. 只显示安全错误
2. 不回显上游堆栈与令牌
3. 回调参数清除且能重试</x:v>
      </x:c>
      <x:c r="K22" s="3" t="str">
        <x:v>S01;S04;S05</x:v>
      </x:c>
      <x:c r="L22" s="3" t="str">
        <x:v>实现路径存在，待执行验收</x:v>
      </x:c>
      <x:c r="M22" s="12" t="str">
        <x:v>未执行</x:v>
      </x:c>
      <x:c r="N22" s="12" t="str"/>
      <x:c r="O22" s="12" t="str"/>
      <x:c r="P22" s="12" t="str"/>
    </x:row>
    <x:row r="23" ht="42" customHeight="1">
      <x:c r="A23" s="3" t="str">
        <x:v>ACC-019</x:v>
      </x:c>
      <x:c r="B23" s="3" t="str">
        <x:v>账号与登录</x:v>
      </x:c>
      <x:c r="C23" s="3" t="str">
        <x:v>账号乐观锁</x:v>
      </x:c>
      <x:c r="D23" s="3" t="str">
        <x:v>P1</x:v>
      </x:c>
      <x:c r="E23" s="3" t="str">
        <x:v>并发</x:v>
      </x:c>
      <x:c r="F23" s="3" t="str">
        <x:v>Web + API + Keycloak</x:v>
      </x:c>
      <x:c r="G23" s="3" t="str">
        <x:v>准备管理员 Admin、普通用户 A/B；使用独立浏览器会话和非生产 Keycloak。</x:v>
      </x:c>
      <x:c r="H23" s="3" t="str">
        <x:v>同一用户 enabled 更新的相同 expected_version</x:v>
      </x:c>
      <x:c r="I23" s="3" t="str">
        <x:v>1. 两管理员窗口依次提交相反状态
2. 查看第二次响应与最终状态</x:v>
      </x:c>
      <x:c r="J23" s="3" t="str">
        <x:v>1. 旧版本更新返回 412/version_conflict
2. 不会静默覆盖先前变更</x:v>
      </x:c>
      <x:c r="K23" s="3" t="str">
        <x:v>S01;S04;S05</x:v>
      </x:c>
      <x:c r="L23" s="3" t="str">
        <x:v>实现路径存在，待执行验收</x:v>
      </x:c>
      <x:c r="M23" s="12" t="str">
        <x:v>未执行</x:v>
      </x:c>
      <x:c r="N23" s="12" t="str"/>
      <x:c r="O23" s="12" t="str"/>
      <x:c r="P23" s="12" t="str"/>
    </x:row>
    <x:row r="24" ht="42" customHeight="1">
      <x:c r="A24" s="3" t="str">
        <x:v>ACC-020</x:v>
      </x:c>
      <x:c r="B24" s="3" t="str">
        <x:v>账号与登录</x:v>
      </x:c>
      <x:c r="C24" s="3" t="str">
        <x:v>不提供永久删除账号</x:v>
      </x:c>
      <x:c r="D24" s="3" t="str">
        <x:v>P2</x:v>
      </x:c>
      <x:c r="E24" s="3" t="str">
        <x:v>范围</x:v>
      </x:c>
      <x:c r="F24" s="3" t="str">
        <x:v>Web + API + Keycloak</x:v>
      </x:c>
      <x:c r="G24" s="3" t="str">
        <x:v>准备管理员 Admin、普通用户 A/B；使用独立浏览器会话和非生产 Keycloak。</x:v>
      </x:c>
      <x:c r="H24" s="3" t="str">
        <x:v>管理员用户管理页面和公开 API 合同</x:v>
      </x:c>
      <x:c r="I24" s="3" t="str">
        <x:v>1. 查看账号操作
2. 检查是否存在用户 DELETE 入口</x:v>
      </x:c>
      <x:c r="J24" s="3" t="str">
        <x:v>1. 第一版仅停用和启用
2. 不提供永久删除账号功能</x:v>
      </x:c>
      <x:c r="K24" s="3" t="str">
        <x:v>S01;S04;S05</x:v>
      </x:c>
      <x:c r="L24" s="3" t="str">
        <x:v>实现路径存在，待执行验收</x:v>
      </x:c>
      <x:c r="M24" s="12" t="str">
        <x:v>未执行</x:v>
      </x:c>
      <x:c r="N24" s="12" t="str"/>
      <x:c r="O24" s="12" t="str"/>
      <x:c r="P24" s="12" t="str"/>
    </x:row>
    <x:row r="25" ht="57" customHeight="1">
      <x:c r="A25" s="3" t="str">
        <x:v>SES-001</x:v>
      </x:c>
      <x:c r="B25" s="3" t="str">
        <x:v>Session 会话</x:v>
      </x:c>
      <x:c r="C25" s="3" t="str">
        <x:v>立即新建无专家会话</x:v>
      </x:c>
      <x:c r="D25" s="3" t="str">
        <x:v>P0</x:v>
      </x:c>
      <x:c r="E25" s="3" t="str">
        <x:v>正向</x:v>
      </x:c>
      <x:c r="F25" s="3" t="str">
        <x:v>Web + API；真实调用需 E2</x:v>
      </x:c>
      <x:c r="G25" s="3" t="str">
        <x:v>A 已登录、积分为正；默认 Runtime/Provider Model 可用；准备可控流式 Runtime。</x:v>
      </x:c>
      <x:c r="H25" s="3" t="str">
        <x:v>未创建任何 Expert</x:v>
      </x:c>
      <x:c r="I25" s="3" t="str">
        <x:v>1. 点击新建 Session
2. 查看输入框和列表
3. 不发送消息</x:v>
      </x:c>
      <x:c r="J25" s="3" t="str">
        <x:v>1. 立即创建会话并可输入
2. 不弹出强制专家选择对话框
3. 未发送前无模型调用</x:v>
      </x:c>
      <x:c r="K25" s="3" t="str">
        <x:v>S01;S04;S06</x:v>
      </x:c>
      <x:c r="L25" s="3" t="str">
        <x:v>实现路径存在，待执行验收</x:v>
      </x:c>
      <x:c r="M25" s="12" t="str">
        <x:v>未执行</x:v>
      </x:c>
      <x:c r="N25" s="12" t="str">
        <x:v>部分步骤证据：E2E-036 通过。完整结果见“E2E执行”。未执行全部原用例步骤，不据此标记整条通过。</x:v>
      </x:c>
      <x:c r="O25" s="12" t="str"/>
      <x:c r="P25" s="12" t="str">
        <x:v>Codex / 2026-09-06 17:21 Asia/Shanghai</x:v>
      </x:c>
    </x:row>
    <x:row r="26" ht="57" customHeight="1">
      <x:c r="A26" s="3" t="str">
        <x:v>SES-002</x:v>
      </x:c>
      <x:c r="B26" s="3" t="str">
        <x:v>Session 会话</x:v>
      </x:c>
      <x:c r="C26" s="3" t="str">
        <x:v>首条消息生成标题</x:v>
      </x:c>
      <x:c r="D26" s="3" t="str">
        <x:v>P1</x:v>
      </x:c>
      <x:c r="E26" s="3" t="str">
        <x:v>正向</x:v>
      </x:c>
      <x:c r="F26" s="3" t="str">
        <x:v>Web + API；真实调用需 E2</x:v>
      </x:c>
      <x:c r="G26" s="3" t="str">
        <x:v>A 已登录、积分为正；默认 Runtime/Provider Model 可用；准备可控流式 Runtime。</x:v>
      </x:c>
      <x:c r="H26" s="3" t="str">
        <x:v>首条文本“为产品写三条介绍”</x:v>
      </x:c>
      <x:c r="I26" s="3" t="str">
        <x:v>1. 发送首条消息
2. 查看会话列表标题
3. 核对调用记录</x:v>
      </x:c>
      <x:c r="J26" s="3" t="str">
        <x:v>1. 本地派生可编辑标题
2. 标题生成不额外调用模型或扣积分</x:v>
      </x:c>
      <x:c r="K26" s="3" t="str">
        <x:v>S01;S04;S06</x:v>
      </x:c>
      <x:c r="L26" s="3" t="str">
        <x:v>实现路径存在，待执行验收</x:v>
      </x:c>
      <x:c r="M26" s="12" t="str">
        <x:v>未执行</x:v>
      </x:c>
      <x:c r="N26" s="12" t="str"/>
      <x:c r="O26" s="12" t="str"/>
      <x:c r="P26" s="12" t="str"/>
    </x:row>
    <x:row r="27" ht="57" customHeight="1">
      <x:c r="A27" s="3" t="str">
        <x:v>SES-003</x:v>
      </x:c>
      <x:c r="B27" s="3" t="str">
        <x:v>Session 会话</x:v>
      </x:c>
      <x:c r="C27" s="3" t="str">
        <x:v>流式回复与正常完成</x:v>
      </x:c>
      <x:c r="D27" s="3" t="str">
        <x:v>P0</x:v>
      </x:c>
      <x:c r="E27" s="3" t="str">
        <x:v>正向</x:v>
      </x:c>
      <x:c r="F27" s="3" t="str">
        <x:v>Web + API；真实调用需 E2</x:v>
      </x:c>
      <x:c r="G27" s="3" t="str">
        <x:v>A 已登录、积分为正；默认 Runtime/Provider Model 可用；准备可控流式 Runtime。</x:v>
      </x:c>
      <x:c r="H27" s="3" t="str">
        <x:v>Runtime 依次输出多段文本和成功终态</x:v>
      </x:c>
      <x:c r="I27" s="3" t="str">
        <x:v>1. 发送消息
2. 观察内容逐段出现、耗时和状态
3. 刷新历史</x:v>
      </x:c>
      <x:c r="J27" s="3" t="str">
        <x:v>1. 回复增量显示
2. 最终内容完整且只有一条正式回复
3. 历史包含本轮输入和结果</x:v>
      </x:c>
      <x:c r="K27" s="3" t="str">
        <x:v>S01;S04;S06</x:v>
      </x:c>
      <x:c r="L27" s="3" t="str">
        <x:v>实现路径存在，待执行验收</x:v>
      </x:c>
      <x:c r="M27" s="12" t="str">
        <x:v>未执行</x:v>
      </x:c>
      <x:c r="N27" s="12" t="str">
        <x:v>部分步骤证据：E2E-031 阻塞。完整结果见“E2E执行”。未执行全部原用例步骤，不据此标记整条通过。</x:v>
      </x:c>
      <x:c r="O27" s="12" t="str"/>
      <x:c r="P27" s="12" t="str">
        <x:v>Codex / 2026-09-06 17:21 Asia/Shanghai</x:v>
      </x:c>
    </x:row>
    <x:row r="28" ht="57" customHeight="1">
      <x:c r="A28" s="3" t="str">
        <x:v>SES-004</x:v>
      </x:c>
      <x:c r="B28" s="3" t="str">
        <x:v>Session 会话</x:v>
      </x:c>
      <x:c r="C28" s="3" t="str">
        <x:v>停止正在生成的回复</x:v>
      </x:c>
      <x:c r="D28" s="3" t="str">
        <x:v>P0</x:v>
      </x:c>
      <x:c r="E28" s="3" t="str">
        <x:v>状态</x:v>
      </x:c>
      <x:c r="F28" s="3" t="str">
        <x:v>Web + API；真实调用需 E2</x:v>
      </x:c>
      <x:c r="G28" s="3" t="str">
        <x:v>A 已登录、积分为正；默认 Runtime/Provider Model 可用；准备可控流式 Runtime。</x:v>
      </x:c>
      <x:c r="H28" s="3" t="str">
        <x:v>长时间流式回复</x:v>
      </x:c>
      <x:c r="I28" s="3" t="str">
        <x:v>1. 开始生成
2. 点击替代发送按钮的停止控件
3. 等待后端终态</x:v>
      </x:c>
      <x:c r="J28" s="3" t="str">
        <x:v>1. 发出后端取消请求
2. Runtime 停止
3. 界面显示 cancelled 且不再追加事件</x:v>
      </x:c>
      <x:c r="K28" s="3" t="str">
        <x:v>S01;S04;S06</x:v>
      </x:c>
      <x:c r="L28" s="3" t="str">
        <x:v>实现路径存在，待执行验收</x:v>
      </x:c>
      <x:c r="M28" s="12" t="str">
        <x:v>未执行</x:v>
      </x:c>
      <x:c r="N28" s="12" t="str"/>
      <x:c r="O28" s="12" t="str"/>
      <x:c r="P28" s="12" t="str"/>
    </x:row>
    <x:row r="29" ht="57" customHeight="1">
      <x:c r="A29" s="3" t="str">
        <x:v>SES-005</x:v>
      </x:c>
      <x:c r="B29" s="3" t="str">
        <x:v>Session 会话</x:v>
      </x:c>
      <x:c r="C29" s="3" t="str">
        <x:v>异步取消状态收敛</x:v>
      </x:c>
      <x:c r="D29" s="3" t="str">
        <x:v>P1</x:v>
      </x:c>
      <x:c r="E29" s="3" t="str">
        <x:v>恢复</x:v>
      </x:c>
      <x:c r="F29" s="3" t="str">
        <x:v>Web + API；真实调用需 E2</x:v>
      </x:c>
      <x:c r="G29" s="3" t="str">
        <x:v>A 已登录、积分为正；默认 Runtime/Provider Model 可用；准备可控流式 Runtime。</x:v>
      </x:c>
      <x:c r="H29" s="3" t="str">
        <x:v>取消接口先确认接收、稍后终止 Runtime</x:v>
      </x:c>
      <x:c r="I29" s="3" t="str">
        <x:v>1. 点击停止
2. 切走并返回会话
3. 等待刷新或后续状态</x:v>
      </x:c>
      <x:c r="J29" s="3" t="str">
        <x:v>1. 最终显示后端 cancelled 状态
2. 不将接收取消误当成功生成
3. 不会永远卡在生成中</x:v>
      </x:c>
      <x:c r="K29" s="3" t="str">
        <x:v>S01;S04;S06</x:v>
      </x:c>
      <x:c r="L29" s="3" t="str">
        <x:v>实现路径存在，待执行验收</x:v>
      </x:c>
      <x:c r="M29" s="12" t="str">
        <x:v>未执行</x:v>
      </x:c>
      <x:c r="N29" s="12" t="str"/>
      <x:c r="O29" s="12" t="str"/>
      <x:c r="P29" s="12" t="str"/>
    </x:row>
    <x:row r="30" ht="57" customHeight="1">
      <x:c r="A30" s="3" t="str">
        <x:v>SES-006</x:v>
      </x:c>
      <x:c r="B30" s="3" t="str">
        <x:v>Session 会话</x:v>
      </x:c>
      <x:c r="C30" s="3" t="str">
        <x:v>失败回复与重试</x:v>
      </x:c>
      <x:c r="D30" s="3" t="str">
        <x:v>P0</x:v>
      </x:c>
      <x:c r="E30" s="3" t="str">
        <x:v>异常</x:v>
      </x:c>
      <x:c r="F30" s="3" t="str">
        <x:v>Web + API；真实调用需 E2</x:v>
      </x:c>
      <x:c r="G30" s="3" t="str">
        <x:v>A 已登录、积分为正；默认 Runtime/Provider Model 可用；准备可控流式 Runtime。</x:v>
      </x:c>
      <x:c r="H30" s="3" t="str">
        <x:v>第一次 Runtime 失败，第二次成功</x:v>
      </x:c>
      <x:c r="I30" s="3" t="str">
        <x:v>1. 发送消息并等失败
2. 点击原消息重试
3. 比较输入和快照</x:v>
      </x:c>
      <x:c r="J30" s="3" t="str">
        <x:v>1. 失败有可操作提示
2. 重试按历史输入及原 Response Snapshot 执行
3. 重试独立计费</x:v>
      </x:c>
      <x:c r="K30" s="3" t="str">
        <x:v>S01;S04;S06</x:v>
      </x:c>
      <x:c r="L30" s="3" t="str">
        <x:v>实现路径存在，待执行验收</x:v>
      </x:c>
      <x:c r="M30" s="12" t="str">
        <x:v>未执行</x:v>
      </x:c>
      <x:c r="N30" s="12" t="str"/>
      <x:c r="O30" s="12" t="str"/>
      <x:c r="P30" s="12" t="str"/>
    </x:row>
    <x:row r="31" ht="57" customHeight="1">
      <x:c r="A31" s="3" t="str">
        <x:v>SES-007</x:v>
      </x:c>
      <x:c r="B31" s="3" t="str">
        <x:v>Session 会话</x:v>
      </x:c>
      <x:c r="C31" s="3" t="str">
        <x:v>重试不采用当前草稿</x:v>
      </x:c>
      <x:c r="D31" s="3" t="str">
        <x:v>P0</x:v>
      </x:c>
      <x:c r="E31" s="3" t="str">
        <x:v>快照</x:v>
      </x:c>
      <x:c r="F31" s="3" t="str">
        <x:v>Web + API；真实调用需 E2</x:v>
      </x:c>
      <x:c r="G31" s="3" t="str">
        <x:v>A 已登录、积分为正；默认 Runtime/Provider Model 可用；准备可控流式 Runtime。</x:v>
      </x:c>
      <x:c r="H31" s="3" t="str">
        <x:v>失败消息选择 E1/S1；当前草稿改为 E2/S2</x:v>
      </x:c>
      <x:c r="I31" s="3" t="str">
        <x:v>1. 点击失败回复的重试
2. 检查实际执行资源
3. 检查当前草稿</x:v>
      </x:c>
      <x:c r="J31" s="3" t="str">
        <x:v>1. 执行使用失败消息的原始资源和文件
2. 当前草稿不会被移植到重试</x:v>
      </x:c>
      <x:c r="K31" s="3" t="str">
        <x:v>S01;S04;S06</x:v>
      </x:c>
      <x:c r="L31" s="3" t="str">
        <x:v>实现路径存在，待执行验收</x:v>
      </x:c>
      <x:c r="M31" s="12" t="str">
        <x:v>未执行</x:v>
      </x:c>
      <x:c r="N31" s="12" t="str"/>
      <x:c r="O31" s="12" t="str"/>
      <x:c r="P31" s="12" t="str"/>
    </x:row>
    <x:row r="32" ht="57" customHeight="1">
      <x:c r="A32" s="3" t="str">
        <x:v>SES-008</x:v>
      </x:c>
      <x:c r="B32" s="3" t="str">
        <x:v>Session 会话</x:v>
      </x:c>
      <x:c r="C32" s="3" t="str">
        <x:v>内联重命名及持久化</x:v>
      </x:c>
      <x:c r="D32" s="3" t="str">
        <x:v>P1</x:v>
      </x:c>
      <x:c r="E32" s="3" t="str">
        <x:v>正向</x:v>
      </x:c>
      <x:c r="F32" s="3" t="str">
        <x:v>Web + API；真实调用需 E2</x:v>
      </x:c>
      <x:c r="G32" s="3" t="str">
        <x:v>A 已登录、积分为正；默认 Runtime/Provider Model 可用；准备可控流式 Runtime。</x:v>
      </x:c>
      <x:c r="H32" s="3" t="str">
        <x:v>已有会话标题</x:v>
      </x:c>
      <x:c r="I32" s="3" t="str">
        <x:v>1. 进入内联重命名
2. 输入中文新名称保存
3. 刷新页面</x:v>
      </x:c>
      <x:c r="J32" s="3" t="str">
        <x:v>1. 不使用浏览器原生 prompt
2. 新标题持久化且列表与当前会话一致</x:v>
      </x:c>
      <x:c r="K32" s="3" t="str">
        <x:v>S01;S04;S06</x:v>
      </x:c>
      <x:c r="L32" s="3" t="str">
        <x:v>实现路径存在，待执行验收</x:v>
      </x:c>
      <x:c r="M32" s="12" t="str">
        <x:v>未执行</x:v>
      </x:c>
      <x:c r="N32" s="12" t="str">
        <x:v>部分步骤证据：E2E-006 通过；E2E-007 通过。完整结果见“E2E执行”。未执行全部原用例步骤，不据此标记整条通过。</x:v>
      </x:c>
      <x:c r="O32" s="12" t="str"/>
      <x:c r="P32" s="12" t="str">
        <x:v>Codex / 2026-09-06 17:21 Asia/Shanghai</x:v>
      </x:c>
    </x:row>
    <x:row r="33" ht="57" customHeight="1">
      <x:c r="A33" s="3" t="str">
        <x:v>SES-009</x:v>
      </x:c>
      <x:c r="B33" s="3" t="str">
        <x:v>Session 会话</x:v>
      </x:c>
      <x:c r="C33" s="3" t="str">
        <x:v>会话归档只读</x:v>
      </x:c>
      <x:c r="D33" s="3" t="str">
        <x:v>P1</x:v>
      </x:c>
      <x:c r="E33" s="3" t="str">
        <x:v>状态</x:v>
      </x:c>
      <x:c r="F33" s="3" t="str">
        <x:v>Web + API；真实调用需 E2</x:v>
      </x:c>
      <x:c r="G33" s="3" t="str">
        <x:v>A 已登录、积分为正；默认 Runtime/Provider Model 可用；准备可控流式 Runtime。</x:v>
      </x:c>
      <x:c r="H33" s="3" t="str">
        <x:v>有历史消息的活动会话</x:v>
      </x:c>
      <x:c r="I33" s="3" t="str">
        <x:v>1. 归档会话
2. 查看活动列表和归档列表
3. 打开归档会话尝试发送</x:v>
      </x:c>
      <x:c r="J33" s="3" t="str">
        <x:v>1. 从活动列表隐藏
2. 归档历史可读
3. 发送/执行入口不可用且服务端拒绝</x:v>
      </x:c>
      <x:c r="K33" s="3" t="str">
        <x:v>S01;S04;S06</x:v>
      </x:c>
      <x:c r="L33" s="3" t="str">
        <x:v>实现路径存在，待执行验收</x:v>
      </x:c>
      <x:c r="M33" s="12" t="str">
        <x:v>未执行</x:v>
      </x:c>
      <x:c r="N33" s="12" t="str">
        <x:v>部分步骤证据：E2E-006 通过。完整结果见“E2E执行”。未执行全部原用例步骤，不据此标记整条通过。</x:v>
      </x:c>
      <x:c r="O33" s="12" t="str"/>
      <x:c r="P33" s="12" t="str">
        <x:v>Codex / 2026-09-06 17:21 Asia/Shanghai</x:v>
      </x:c>
    </x:row>
    <x:row r="34" ht="57" customHeight="1">
      <x:c r="A34" s="3" t="str">
        <x:v>SES-010</x:v>
      </x:c>
      <x:c r="B34" s="3" t="str">
        <x:v>Session 会话</x:v>
      </x:c>
      <x:c r="C34" s="3" t="str">
        <x:v>取消归档</x:v>
      </x:c>
      <x:c r="D34" s="3" t="str">
        <x:v>P1</x:v>
      </x:c>
      <x:c r="E34" s="3" t="str">
        <x:v>状态</x:v>
      </x:c>
      <x:c r="F34" s="3" t="str">
        <x:v>Web + API；真实调用需 E2</x:v>
      </x:c>
      <x:c r="G34" s="3" t="str">
        <x:v>A 已登录、积分为正；默认 Runtime/Provider Model 可用；准备可控流式 Runtime。</x:v>
      </x:c>
      <x:c r="H34" s="3" t="str">
        <x:v>已归档会话</x:v>
      </x:c>
      <x:c r="I34" s="3" t="str">
        <x:v>1. 在归档列表取消归档
2. 返回活动列表
3. 发送新消息</x:v>
      </x:c>
      <x:c r="J34" s="3" t="str">
        <x:v>1. 回到活动列表
2. 原消息仍完整
3. 允许继续对话</x:v>
      </x:c>
      <x:c r="K34" s="3" t="str">
        <x:v>S01;S04;S06</x:v>
      </x:c>
      <x:c r="L34" s="3" t="str">
        <x:v>实现路径存在，待执行验收</x:v>
      </x:c>
      <x:c r="M34" s="12" t="str">
        <x:v>未执行</x:v>
      </x:c>
      <x:c r="N34" s="12" t="str">
        <x:v>部分步骤证据：E2E-006 通过。完整结果见“E2E执行”。未执行全部原用例步骤，不据此标记整条通过。</x:v>
      </x:c>
      <x:c r="O34" s="12" t="str"/>
      <x:c r="P34" s="12" t="str">
        <x:v>Codex / 2026-09-06 17:21 Asia/Shanghai</x:v>
      </x:c>
    </x:row>
    <x:row r="35" ht="57" customHeight="1">
      <x:c r="A35" s="3" t="str">
        <x:v>SES-011</x:v>
      </x:c>
      <x:c r="B35" s="3" t="str">
        <x:v>Session 会话</x:v>
      </x:c>
      <x:c r="C35" s="3" t="str">
        <x:v>删除前确认与取消</x:v>
      </x:c>
      <x:c r="D35" s="3" t="str">
        <x:v>P1</x:v>
      </x:c>
      <x:c r="E35" s="3" t="str">
        <x:v>交互</x:v>
      </x:c>
      <x:c r="F35" s="3" t="str">
        <x:v>Web + API；真实调用需 E2</x:v>
      </x:c>
      <x:c r="G35" s="3" t="str">
        <x:v>A 已登录、积分为正；默认 Runtime/Provider Model 可用；准备可控流式 Runtime。</x:v>
      </x:c>
      <x:c r="H35" s="3" t="str">
        <x:v>有消息的会话</x:v>
      </x:c>
      <x:c r="I35" s="3" t="str">
        <x:v>1. 点击删除
2. 在产品确认框取消
3. 再次查看原会话</x:v>
      </x:c>
      <x:c r="J35" s="3" t="str">
        <x:v>1. 使用产品内确认对话框
2. 取消不删除任何数据或终止任务</x:v>
      </x:c>
      <x:c r="K35" s="3" t="str">
        <x:v>S01;S04;S06</x:v>
      </x:c>
      <x:c r="L35" s="3" t="str">
        <x:v>实现路径存在，待执行验收</x:v>
      </x:c>
      <x:c r="M35" s="12" t="str">
        <x:v>未执行</x:v>
      </x:c>
      <x:c r="N35" s="12" t="str"/>
      <x:c r="O35" s="12" t="str"/>
      <x:c r="P35" s="12" t="str"/>
    </x:row>
    <x:row r="36" ht="57" customHeight="1">
      <x:c r="A36" s="3" t="str">
        <x:v>SES-012</x:v>
      </x:c>
      <x:c r="B36" s="3" t="str">
        <x:v>Session 会话</x:v>
      </x:c>
      <x:c r="C36" s="3" t="str">
        <x:v>删除活动会话清理</x:v>
      </x:c>
      <x:c r="D36" s="3" t="str">
        <x:v>P0</x:v>
      </x:c>
      <x:c r="E36" s="3" t="str">
        <x:v>安全</x:v>
      </x:c>
      <x:c r="F36" s="3" t="str">
        <x:v>Web + API；真实调用需 E2</x:v>
      </x:c>
      <x:c r="G36" s="3" t="str">
        <x:v>A 已登录、积分为正；默认 Runtime/Provider Model 可用；准备可控流式 Runtime。</x:v>
      </x:c>
      <x:c r="H36" s="3" t="str">
        <x:v>会话正在生成并含附件及 Native State</x:v>
      </x:c>
      <x:c r="I36" s="3" t="str">
        <x:v>1. 确认删除会话
2. 查询会话和消息
3. 检查 Runtime 与关联状态清理</x:v>
      </x:c>
      <x:c r="J36" s="3" t="str">
        <x:v>1. 运行被取消
2. 消息和会话执行数据删除
3. 资源不可再次读取或续接</x:v>
      </x:c>
      <x:c r="K36" s="3" t="str">
        <x:v>S01;S04;S06</x:v>
      </x:c>
      <x:c r="L36" s="3" t="str">
        <x:v>实现路径存在，待执行验收</x:v>
      </x:c>
      <x:c r="M36" s="12" t="str">
        <x:v>未执行</x:v>
      </x:c>
      <x:c r="N36" s="12" t="str">
        <x:v>部分步骤证据：E2E-006 通过。完整结果见“E2E执行”。未执行全部原用例步骤，不据此标记整条通过。</x:v>
      </x:c>
      <x:c r="O36" s="12" t="str"/>
      <x:c r="P36" s="12" t="str">
        <x:v>Codex / 2026-09-06 17:21 Asia/Shanghai</x:v>
      </x:c>
    </x:row>
    <x:row r="37" ht="57" customHeight="1">
      <x:c r="A37" s="3" t="str">
        <x:v>SES-013</x:v>
      </x:c>
      <x:c r="B37" s="3" t="str">
        <x:v>Session 会话</x:v>
      </x:c>
      <x:c r="C37" s="3" t="str">
        <x:v>首条消息冻结个人执行配置</x:v>
      </x:c>
      <x:c r="D37" s="3" t="str">
        <x:v>P0</x:v>
      </x:c>
      <x:c r="E37" s="3" t="str">
        <x:v>快照</x:v>
      </x:c>
      <x:c r="F37" s="3" t="str">
        <x:v>Web + API；真实调用需 E2</x:v>
      </x:c>
      <x:c r="G37" s="3" t="str">
        <x:v>A 已登录、积分为正；默认 Runtime/Provider Model 可用；准备可控流式 Runtime。</x:v>
      </x:c>
      <x:c r="H37" s="3" t="str">
        <x:v>个人默认为 Runtime R1/Model M1</x:v>
      </x:c>
      <x:c r="I37" s="3" t="str">
        <x:v>1. 先新建空会话
2. 修改默认为 R2/M2
3. 首次发送并查看快照</x:v>
      </x:c>
      <x:c r="J37" s="3" t="str">
        <x:v>1. 以首次发送时的 R2/M2 冻结
2. 不以空会话创建时间提前冻结</x:v>
      </x:c>
      <x:c r="K37" s="3" t="str">
        <x:v>S01;S04;S06</x:v>
      </x:c>
      <x:c r="L37" s="3" t="str">
        <x:v>实现路径存在，待执行验收</x:v>
      </x:c>
      <x:c r="M37" s="12" t="str">
        <x:v>未执行</x:v>
      </x:c>
      <x:c r="N37" s="12" t="str"/>
      <x:c r="O37" s="12" t="str"/>
      <x:c r="P37" s="12" t="str"/>
    </x:row>
    <x:row r="38" ht="57" customHeight="1">
      <x:c r="A38" s="3" t="str">
        <x:v>SES-014</x:v>
      </x:c>
      <x:c r="B38" s="3" t="str">
        <x:v>Session 会话</x:v>
      </x:c>
      <x:c r="C38" s="3" t="str">
        <x:v>后续设置不改变旧会话</x:v>
      </x:c>
      <x:c r="D38" s="3" t="str">
        <x:v>P0</x:v>
      </x:c>
      <x:c r="E38" s="3" t="str">
        <x:v>快照</x:v>
      </x:c>
      <x:c r="F38" s="3" t="str">
        <x:v>Web + API；真实调用需 E2</x:v>
      </x:c>
      <x:c r="G38" s="3" t="str">
        <x:v>A 已登录、积分为正；默认 Runtime/Provider Model 可用；准备可控流式 Runtime。</x:v>
      </x:c>
      <x:c r="H38" s="3" t="str">
        <x:v>已有会话已冻结 R1/M1</x:v>
      </x:c>
      <x:c r="I38" s="3" t="str">
        <x:v>1. 修改个人默认为 R2/M2
2. 旧会话继续发送
3. 新建会话发送</x:v>
      </x:c>
      <x:c r="J38" s="3" t="str">
        <x:v>1. 旧会话仍使用 R1/M1
2. 新会话使用 R2/M2
3. 页面无逐消息模型覆盖项</x:v>
      </x:c>
      <x:c r="K38" s="3" t="str">
        <x:v>S01;S04;S06</x:v>
      </x:c>
      <x:c r="L38" s="3" t="str">
        <x:v>实现路径存在，待执行验收</x:v>
      </x:c>
      <x:c r="M38" s="12" t="str">
        <x:v>未执行</x:v>
      </x:c>
      <x:c r="N38" s="12" t="str"/>
      <x:c r="O38" s="12" t="str"/>
      <x:c r="P38" s="12" t="str"/>
    </x:row>
    <x:row r="39" ht="42" customHeight="1">
      <x:c r="A39" s="3" t="str">
        <x:v>SES-015</x:v>
      </x:c>
      <x:c r="B39" s="3" t="str">
        <x:v>Session 会话</x:v>
      </x:c>
      <x:c r="C39" s="3" t="str">
        <x:v>专家与团队共用冻结执行配置</x:v>
      </x:c>
      <x:c r="D39" s="3" t="str">
        <x:v>P0</x:v>
      </x:c>
      <x:c r="E39" s="3" t="str">
        <x:v>快照</x:v>
      </x:c>
      <x:c r="F39" s="3" t="str">
        <x:v>Web + API；真实调用需 E2</x:v>
      </x:c>
      <x:c r="G39" s="3" t="str">
        <x:v>A 已登录、积分为正；默认 Runtime/Provider Model 可用；准备可控流式 Runtime。</x:v>
      </x:c>
      <x:c r="H39" s="3" t="str">
        <x:v>同一会话依次选择无专家、专家、团队</x:v>
      </x:c>
      <x:c r="I39" s="3" t="str">
        <x:v>1. 依次发送三轮
2. 查看各阶段 Runtime/Model 元数据</x:v>
      </x:c>
      <x:c r="J39" s="3" t="str">
        <x:v>1. 全部使用会话冻结配置
2. 专家切换不重新选取个人默认模型</x:v>
      </x:c>
      <x:c r="K39" s="3" t="str">
        <x:v>S01;S04;S06</x:v>
      </x:c>
      <x:c r="L39" s="3" t="str">
        <x:v>实现路径存在，待执行验收</x:v>
      </x:c>
      <x:c r="M39" s="12" t="str">
        <x:v>未执行</x:v>
      </x:c>
      <x:c r="N39" s="12" t="str"/>
      <x:c r="O39" s="12" t="str"/>
      <x:c r="P39" s="12" t="str"/>
    </x:row>
    <x:row r="40" ht="57" customHeight="1">
      <x:c r="A40" s="3" t="str">
        <x:v>SES-016</x:v>
      </x:c>
      <x:c r="B40" s="3" t="str">
        <x:v>Session 会话</x:v>
      </x:c>
      <x:c r="C40" s="3" t="str">
        <x:v>历史分页完整加载</x:v>
      </x:c>
      <x:c r="D40" s="3" t="str">
        <x:v>P1</x:v>
      </x:c>
      <x:c r="E40" s="3" t="str">
        <x:v>边界</x:v>
      </x:c>
      <x:c r="F40" s="3" t="str">
        <x:v>Web + API；真实调用需 E2</x:v>
      </x:c>
      <x:c r="G40" s="3" t="str">
        <x:v>A 已登录、积分为正；默认 Runtime/Provider Model 可用；准备可控流式 Runtime。</x:v>
      </x:c>
      <x:c r="H40" s="3" t="str">
        <x:v>消息数量超过一次分页上限</x:v>
      </x:c>
      <x:c r="I40" s="3" t="str">
        <x:v>1. 打开会话
2. 触发多页读取
3. 对照所有消息 ID 和顺序</x:v>
      </x:c>
      <x:c r="J40" s="3" t="str">
        <x:v>1. 按顺序加载完整历史
2. 不丢消息、不重复，最后一页正确结束</x:v>
      </x:c>
      <x:c r="K40" s="3" t="str">
        <x:v>S01;S04;S06</x:v>
      </x:c>
      <x:c r="L40" s="3" t="str">
        <x:v>实现路径存在，待执行验收</x:v>
      </x:c>
      <x:c r="M40" s="12" t="str">
        <x:v>未执行</x:v>
      </x:c>
      <x:c r="N40" s="12" t="str"/>
      <x:c r="O40" s="12" t="str"/>
      <x:c r="P40" s="12" t="str"/>
    </x:row>
    <x:row r="41" ht="42" customHeight="1">
      <x:c r="A41" s="3" t="str">
        <x:v>SES-017</x:v>
      </x:c>
      <x:c r="B41" s="3" t="str">
        <x:v>Session 会话</x:v>
      </x:c>
      <x:c r="C41" s="3" t="str">
        <x:v>快速切换避免旧响应覆盖</x:v>
      </x:c>
      <x:c r="D41" s="3" t="str">
        <x:v>P1</x:v>
      </x:c>
      <x:c r="E41" s="3" t="str">
        <x:v>并发</x:v>
      </x:c>
      <x:c r="F41" s="3" t="str">
        <x:v>Web + API；真实调用需 E2</x:v>
      </x:c>
      <x:c r="G41" s="3" t="str">
        <x:v>A 已登录、积分为正；默认 Runtime/Provider Model 可用；准备可控流式 Runtime。</x:v>
      </x:c>
      <x:c r="H41" s="3" t="str">
        <x:v>会话 A1/A2；故意延迟 A1 消息请求</x:v>
      </x:c>
      <x:c r="I41" s="3" t="str">
        <x:v>1. 打开 A1 后立刻切 A2，再切回
2. 释放延迟响应</x:v>
      </x:c>
      <x:c r="J41" s="3" t="str">
        <x:v>1. 当前会话只展示自己的消息
2. 旧请求响应不会覆盖另一会话</x:v>
      </x:c>
      <x:c r="K41" s="3" t="str">
        <x:v>S01;S04;S06</x:v>
      </x:c>
      <x:c r="L41" s="3" t="str">
        <x:v>实现路径存在，待执行验收</x:v>
      </x:c>
      <x:c r="M41" s="12" t="str">
        <x:v>未执行</x:v>
      </x:c>
      <x:c r="N41" s="12" t="str"/>
      <x:c r="O41" s="12" t="str"/>
      <x:c r="P41" s="12" t="str"/>
    </x:row>
    <x:row r="42" ht="57" customHeight="1">
      <x:c r="A42" s="3" t="str">
        <x:v>SES-018</x:v>
      </x:c>
      <x:c r="B42" s="3" t="str">
        <x:v>Session 会话</x:v>
      </x:c>
      <x:c r="C42" s="3" t="str">
        <x:v>流断开后的终态补偿</x:v>
      </x:c>
      <x:c r="D42" s="3" t="str">
        <x:v>P0</x:v>
      </x:c>
      <x:c r="E42" s="3" t="str">
        <x:v>恢复</x:v>
      </x:c>
      <x:c r="F42" s="3" t="str">
        <x:v>Web + API；真实调用需 E2</x:v>
      </x:c>
      <x:c r="G42" s="3" t="str">
        <x:v>A 已登录、积分为正；默认 Runtime/Provider Model 可用；准备可控流式 Runtime。</x:v>
      </x:c>
      <x:c r="H42" s="3" t="str">
        <x:v>服务端完成，但 SSE 最终快照丢失</x:v>
      </x:c>
      <x:c r="I42" s="3" t="str">
        <x:v>1. 发送消息
2. 断开事件流
3. 恢复网络并等待状态查询</x:v>
      </x:c>
      <x:c r="J42" s="3" t="str">
        <x:v>1. 补查消息并收敛到真实终态
2. 不会重复生成或长时间保持运行态</x:v>
      </x:c>
      <x:c r="K42" s="3" t="str">
        <x:v>S01;S04;S06</x:v>
      </x:c>
      <x:c r="L42" s="3" t="str">
        <x:v>实现路径存在，待执行验收</x:v>
      </x:c>
      <x:c r="M42" s="12" t="str">
        <x:v>未执行</x:v>
      </x:c>
      <x:c r="N42" s="12" t="str"/>
      <x:c r="O42" s="12" t="str"/>
      <x:c r="P42" s="12" t="str"/>
    </x:row>
    <x:row r="43" ht="57" customHeight="1">
      <x:c r="A43" s="3" t="str">
        <x:v>SES-019</x:v>
      </x:c>
      <x:c r="B43" s="3" t="str">
        <x:v>Session 会话</x:v>
      </x:c>
      <x:c r="C43" s="3" t="str">
        <x:v>历史执行活动安全展示</x:v>
      </x:c>
      <x:c r="D43" s="3" t="str">
        <x:v>P1</x:v>
      </x:c>
      <x:c r="E43" s="3" t="str">
        <x:v>安全</x:v>
      </x:c>
      <x:c r="F43" s="3" t="str">
        <x:v>Web + API；真实调用需 E2</x:v>
      </x:c>
      <x:c r="G43" s="3" t="str">
        <x:v>A 已登录、积分为正；默认 Runtime/Provider Model 可用；准备可控流式 Runtime。</x:v>
      </x:c>
      <x:c r="H43" s="3" t="str">
        <x:v>公开 reasoning summary、工具命令、工具输出、错误事件</x:v>
      </x:c>
      <x:c r="I43" s="3" t="str">
        <x:v>1. 执行并展开活动摘要
2. 完成后刷新
3. 查看前端和持久化内容</x:v>
      </x:c>
      <x:c r="J43" s="3" t="str">
        <x:v>1. 只显示脱敏公开摘要、命令和状态
2. 不暴露原始思维链、私有事件或工具输出</x:v>
      </x:c>
      <x:c r="K43" s="3" t="str">
        <x:v>S01;S04;S06</x:v>
      </x:c>
      <x:c r="L43" s="3" t="str">
        <x:v>实现路径存在，待执行验收</x:v>
      </x:c>
      <x:c r="M43" s="12" t="str">
        <x:v>未执行</x:v>
      </x:c>
      <x:c r="N43" s="12" t="str"/>
      <x:c r="O43" s="12" t="str"/>
      <x:c r="P43" s="12" t="str"/>
    </x:row>
    <x:row r="44" ht="42" customHeight="1">
      <x:c r="A44" s="3" t="str">
        <x:v>SES-020</x:v>
      </x:c>
      <x:c r="B44" s="3" t="str">
        <x:v>Session 会话</x:v>
      </x:c>
      <x:c r="C44" s="3" t="str">
        <x:v>失败后清除旧活动状态</x:v>
      </x:c>
      <x:c r="D44" s="3" t="str">
        <x:v>P1</x:v>
      </x:c>
      <x:c r="E44" s="3" t="str">
        <x:v>状态</x:v>
      </x:c>
      <x:c r="F44" s="3" t="str">
        <x:v>Web + API；真实调用需 E2</x:v>
      </x:c>
      <x:c r="G44" s="3" t="str">
        <x:v>A 已登录、积分为正；默认 Runtime/Provider Model 可用；准备可控流式 Runtime。</x:v>
      </x:c>
      <x:c r="H44" s="3" t="str">
        <x:v>执行进入工具阶段后失败</x:v>
      </x:c>
      <x:c r="I44" s="3" t="str">
        <x:v>1. 等待失败
2. 查看当前进度和历史活动</x:v>
      </x:c>
      <x:c r="J44" s="3" t="str">
        <x:v>1. 终态显示失败
2. 旧工具活动不再被显示为仍在执行</x:v>
      </x:c>
      <x:c r="K44" s="3" t="str">
        <x:v>S01;S04;S06</x:v>
      </x:c>
      <x:c r="L44" s="3" t="str">
        <x:v>实现路径存在，待执行验收</x:v>
      </x:c>
      <x:c r="M44" s="12" t="str">
        <x:v>未执行</x:v>
      </x:c>
      <x:c r="N44" s="12" t="str"/>
      <x:c r="O44" s="12" t="str"/>
      <x:c r="P44" s="12" t="str"/>
    </x:row>
    <x:row r="45" ht="57" customHeight="1">
      <x:c r="A45" s="3" t="str">
        <x:v>SES-021</x:v>
      </x:c>
      <x:c r="B45" s="3" t="str">
        <x:v>Session 会话</x:v>
      </x:c>
      <x:c r="C45" s="3" t="str">
        <x:v>Markdown 与逐条复制</x:v>
      </x:c>
      <x:c r="D45" s="3" t="str">
        <x:v>P1</x:v>
      </x:c>
      <x:c r="E45" s="3" t="str">
        <x:v>交互</x:v>
      </x:c>
      <x:c r="F45" s="3" t="str">
        <x:v>Web + API；真实调用需 E2</x:v>
      </x:c>
      <x:c r="G45" s="3" t="str">
        <x:v>A 已登录、积分为正；默认 Runtime/Provider Model 可用；准备可控流式 Runtime。</x:v>
      </x:c>
      <x:c r="H45" s="3" t="str">
        <x:v>Agent 返回列表、表格、代码块；User 输入 HTML</x:v>
      </x:c>
      <x:c r="I45" s="3" t="str">
        <x:v>1. 查看 User/Agent 显示
2. 分别复制问题和答案</x:v>
      </x:c>
      <x:c r="J45" s="3" t="str">
        <x:v>1. Agent 正常渲染安全 Markdown
2. User 文本不执行 HTML
3. 复制内容仅对应所选消息</x:v>
      </x:c>
      <x:c r="K45" s="3" t="str">
        <x:v>S01;S04;S06</x:v>
      </x:c>
      <x:c r="L45" s="3" t="str">
        <x:v>实现路径存在，待执行验收</x:v>
      </x:c>
      <x:c r="M45" s="12" t="str">
        <x:v>未执行</x:v>
      </x:c>
      <x:c r="N45" s="12" t="str"/>
      <x:c r="O45" s="12" t="str"/>
      <x:c r="P45" s="12" t="str"/>
    </x:row>
    <x:row r="46" ht="57" customHeight="1">
      <x:c r="A46" s="3" t="str">
        <x:v>SES-022</x:v>
      </x:c>
      <x:c r="B46" s="3" t="str">
        <x:v>Session 会话</x:v>
      </x:c>
      <x:c r="C46" s="3" t="str">
        <x:v>滚动与输入框遮挡</x:v>
      </x:c>
      <x:c r="D46" s="3" t="str">
        <x:v>P2</x:v>
      </x:c>
      <x:c r="E46" s="3" t="str">
        <x:v>交互</x:v>
      </x:c>
      <x:c r="F46" s="3" t="str">
        <x:v>Web + API；真实调用需 E2</x:v>
      </x:c>
      <x:c r="G46" s="3" t="str">
        <x:v>A 已登录、积分为正；默认 Runtime/Provider Model 可用；准备可控流式 Runtime。</x:v>
      </x:c>
      <x:c r="H46" s="3" t="str">
        <x:v>长历史、多行输入和附件使输入框增高</x:v>
      </x:c>
      <x:c r="I46" s="3" t="str">
        <x:v>1. 向上浏览
2. 点击回到底部
3. 展开多行输入</x:v>
      </x:c>
      <x:c r="J46" s="3" t="str">
        <x:v>1. 可回到最新消息
2. 最新回复不被输入框覆盖
3. 阅读历史时滚动行为可控</x:v>
      </x:c>
      <x:c r="K46" s="3" t="str">
        <x:v>S01;S04;S06</x:v>
      </x:c>
      <x:c r="L46" s="3" t="str">
        <x:v>实现路径存在，待执行验收</x:v>
      </x:c>
      <x:c r="M46" s="12" t="str">
        <x:v>未执行</x:v>
      </x:c>
      <x:c r="N46" s="12" t="str"/>
      <x:c r="O46" s="12" t="str"/>
      <x:c r="P46" s="12" t="str"/>
    </x:row>
    <x:row r="47" ht="57" customHeight="1">
      <x:c r="A47" s="3" t="str">
        <x:v>SES-023</x:v>
      </x:c>
      <x:c r="B47" s="3" t="str">
        <x:v>Session 会话</x:v>
      </x:c>
      <x:c r="C47" s="3" t="str">
        <x:v>Rolling Summary 保持上下文</x:v>
      </x:c>
      <x:c r="D47" s="3" t="str">
        <x:v>P0</x:v>
      </x:c>
      <x:c r="E47" s="3" t="str">
        <x:v>连续性</x:v>
      </x:c>
      <x:c r="F47" s="3" t="str">
        <x:v>Web + API；真实调用需 E2</x:v>
      </x:c>
      <x:c r="G47" s="3" t="str">
        <x:v>A 已登录、积分为正；默认 Runtime/Provider Model 可用；准备可控流式 Runtime。</x:v>
      </x:c>
      <x:c r="H47" s="3" t="str">
        <x:v>长中文对话包含约定代号“海风17”</x:v>
      </x:c>
      <x:c r="I47" s="3" t="str">
        <x:v>1. 连续对话超过最近消息窗口
2. 再询问约定代号
3. 检查有界摘要</x:v>
      </x:c>
      <x:c r="J47" s="3" t="str">
        <x:v>1. 平台摘要和近期上下文维持连续性
2. UTF-8 不截断为乱码
3. 不依赖 Native Resume 才能正确</x:v>
      </x:c>
      <x:c r="K47" s="3" t="str">
        <x:v>S01;S04;S06</x:v>
      </x:c>
      <x:c r="L47" s="3" t="str">
        <x:v>实现路径存在，待执行验收</x:v>
      </x:c>
      <x:c r="M47" s="12" t="str">
        <x:v>未执行</x:v>
      </x:c>
      <x:c r="N47" s="12" t="str"/>
      <x:c r="O47" s="12" t="str"/>
      <x:c r="P47" s="12" t="str"/>
    </x:row>
    <x:row r="48" ht="42" customHeight="1">
      <x:c r="A48" s="3" t="str">
        <x:v>SEL-001</x:v>
      </x:c>
      <x:c r="B48" s="3" t="str">
        <x:v>会话资源选择与草稿</x:v>
      </x:c>
      <x:c r="C48" s="3" t="str">
        <x:v>加号菜单资源分组</x:v>
      </x:c>
      <x:c r="D48" s="3" t="str">
        <x:v>P1</x:v>
      </x:c>
      <x:c r="E48" s="3" t="str">
        <x:v>正向</x:v>
      </x:c>
      <x:c r="F48" s="3" t="str">
        <x:v>Web + API + DB + recording Executor</x:v>
      </x:c>
      <x:c r="G48" s="3" t="str">
        <x:v>A 已有 E1/E2、团队 T1、Skill S1/S2、已测试 MCP C1/C2；Session 和 Run Conversation 各准备两份。</x:v>
      </x:c>
      <x:c r="H48" s="3" t="str">
        <x:v>Session 与 Workflow 追问输入框</x:v>
      </x:c>
      <x:c r="I48" s="3" t="str">
        <x:v>1. 分别打开 + 菜单
2. 检查添加文件、Experts、Skills、Connectors</x:v>
      </x:c>
      <x:c r="J48" s="3" t="str">
        <x:v>1. 两个输入框均提供对应分组
2. 无模型和 Runtime 选择器</x:v>
      </x:c>
      <x:c r="K48" s="3" t="str">
        <x:v>S02;S06;S07;S27</x:v>
      </x:c>
      <x:c r="L48" s="3" t="str">
        <x:v>实现路径存在，待执行验收</x:v>
      </x:c>
      <x:c r="M48" s="12" t="str">
        <x:v>未执行</x:v>
      </x:c>
      <x:c r="N48" s="12" t="str"/>
      <x:c r="O48" s="12" t="str"/>
      <x:c r="P48" s="12" t="str"/>
    </x:row>
    <x:row r="49" ht="57" customHeight="1">
      <x:c r="A49" s="3" t="str">
        <x:v>SEL-002</x:v>
      </x:c>
      <x:c r="B49" s="3" t="str">
        <x:v>会话资源选择与草稿</x:v>
      </x:c>
      <x:c r="C49" s="3" t="str">
        <x:v>斜杠筛选并选择 Skill</x:v>
      </x:c>
      <x:c r="D49" s="3" t="str">
        <x:v>P0</x:v>
      </x:c>
      <x:c r="E49" s="3" t="str">
        <x:v>交互</x:v>
      </x:c>
      <x:c r="F49" s="3" t="str">
        <x:v>Web + API + DB + recording Executor</x:v>
      </x:c>
      <x:c r="G49" s="3" t="str">
        <x:v>A 已有 E1/E2、团队 T1、Skill S1/S2、已测试 MCP C1/C2；Session 和 Run Conversation 各准备两份。</x:v>
      </x:c>
      <x:c r="H49" s="3" t="str">
        <x:v>文本“请 /sum”，Skill 名含 sum</x:v>
      </x:c>
      <x:c r="I49" s="3" t="str">
        <x:v>1. 在词边界输入 /sum
2. 用方向键和 Enter 选择
3. 继续输入正文</x:v>
      </x:c>
      <x:c r="J49" s="3" t="str">
        <x:v>1. 插入可移除 Skill token
2. 确认 Enter 不同时发送
3. 上下文文本保留</x:v>
      </x:c>
      <x:c r="K49" s="3" t="str">
        <x:v>S02;S06;S07;S27</x:v>
      </x:c>
      <x:c r="L49" s="3" t="str">
        <x:v>实现路径存在，待执行验收</x:v>
      </x:c>
      <x:c r="M49" s="12" t="str">
        <x:v>未执行</x:v>
      </x:c>
      <x:c r="N49" s="12" t="str"/>
      <x:c r="O49" s="12" t="str"/>
      <x:c r="P49" s="12" t="str"/>
    </x:row>
    <x:row r="50" ht="42" customHeight="1">
      <x:c r="A50" s="3" t="str">
        <x:v>SEL-003</x:v>
      </x:c>
      <x:c r="B50" s="3" t="str">
        <x:v>会话资源选择与草稿</x:v>
      </x:c>
      <x:c r="C50" s="3" t="str">
        <x:v>斜杠取消与普通文本</x:v>
      </x:c>
      <x:c r="D50" s="3" t="str">
        <x:v>P1</x:v>
      </x:c>
      <x:c r="E50" s="3" t="str">
        <x:v>交互</x:v>
      </x:c>
      <x:c r="F50" s="3" t="str">
        <x:v>Web + API + DB + recording Executor</x:v>
      </x:c>
      <x:c r="G50" s="3" t="str">
        <x:v>A 已有 E1/E2、团队 T1、Skill S1/S2、已测试 MCP C1/C2；Session 和 Run Conversation 各准备两份。</x:v>
      </x:c>
      <x:c r="H50" s="3" t="str">
        <x:v>普通 URL https://example.test/a、邮箱 qa@example.test</x:v>
      </x:c>
      <x:c r="I50" s="3" t="str">
        <x:v>1. 输入 URL 和邮箱
2. 在词边界打开建议后按 Escape</x:v>
      </x:c>
      <x:c r="J50" s="3" t="str">
        <x:v>1. 普通 URL/邮箱不被破坏
2. Escape 关闭建议且不发送消息</x:v>
      </x:c>
      <x:c r="K50" s="3" t="str">
        <x:v>S02;S06;S07;S27</x:v>
      </x:c>
      <x:c r="L50" s="3" t="str">
        <x:v>实现路径存在，待执行验收</x:v>
      </x:c>
      <x:c r="M50" s="12" t="str">
        <x:v>未执行</x:v>
      </x:c>
      <x:c r="N50" s="12" t="str"/>
      <x:c r="O50" s="12" t="str"/>
      <x:c r="P50" s="12" t="str"/>
    </x:row>
    <x:row r="51" ht="42" customHeight="1">
      <x:c r="A51" s="3" t="str">
        <x:v>SEL-004</x:v>
      </x:c>
      <x:c r="B51" s="3" t="str">
        <x:v>会话资源选择与草稿</x:v>
      </x:c>
      <x:c r="C51" s="3" t="str">
        <x:v>中文输入法组合键</x:v>
      </x:c>
      <x:c r="D51" s="3" t="str">
        <x:v>P0</x:v>
      </x:c>
      <x:c r="E51" s="3" t="str">
        <x:v>交互</x:v>
      </x:c>
      <x:c r="F51" s="3" t="str">
        <x:v>Web + API + DB + recording Executor</x:v>
      </x:c>
      <x:c r="G51" s="3" t="str">
        <x:v>A 已有 E1/E2、团队 T1、Skill S1/S2、已测试 MCP C1/C2；Session 和 Run Conversation 各准备两份。</x:v>
      </x:c>
      <x:c r="H51" s="3" t="str">
        <x:v>中文 IME 正处于 composition</x:v>
      </x:c>
      <x:c r="I51" s="3" t="str">
        <x:v>1. 输入候选词并按 Enter 确认
2. 完成组合后再发送</x:v>
      </x:c>
      <x:c r="J51" s="3" t="str">
        <x:v>1. 候选确认不发送
2. 正文和 token 保持完整</x:v>
      </x:c>
      <x:c r="K51" s="3" t="str">
        <x:v>S02;S06;S07;S27</x:v>
      </x:c>
      <x:c r="L51" s="3" t="str">
        <x:v>实现路径存在，待执行验收</x:v>
      </x:c>
      <x:c r="M51" s="12" t="str">
        <x:v>未执行</x:v>
      </x:c>
      <x:c r="N51" s="12" t="str"/>
      <x:c r="O51" s="12" t="str"/>
      <x:c r="P51" s="12" t="str"/>
    </x:row>
    <x:row r="52" ht="57" customHeight="1">
      <x:c r="A52" s="3" t="str">
        <x:v>SEL-005</x:v>
      </x:c>
      <x:c r="B52" s="3" t="str">
        <x:v>会话资源选择与草稿</x:v>
      </x:c>
      <x:c r="C52" s="3" t="str">
        <x:v>光标位置插入与移除 token</x:v>
      </x:c>
      <x:c r="D52" s="3" t="str">
        <x:v>P1</x:v>
      </x:c>
      <x:c r="E52" s="3" t="str">
        <x:v>交互</x:v>
      </x:c>
      <x:c r="F52" s="3" t="str">
        <x:v>Web + API + DB + recording Executor</x:v>
      </x:c>
      <x:c r="G52" s="3" t="str">
        <x:v>A 已有 E1/E2、团队 T1、Skill S1/S2、已测试 MCP C1/C2；Session 和 Run Conversation 各准备两份。</x:v>
      </x:c>
      <x:c r="H52" s="3" t="str">
        <x:v>已有前后段正文及两个不同 Skill</x:v>
      </x:c>
      <x:c r="I52" s="3" t="str">
        <x:v>1. 在正文中部插入 Skill
2. 单独删除一个 token
3. 发送</x:v>
      </x:c>
      <x:c r="J52" s="3" t="str">
        <x:v>1. 插入位置正确
2. 只删除目标 token
3. 其余正文和资源保留</x:v>
      </x:c>
      <x:c r="K52" s="3" t="str">
        <x:v>S02;S06;S07;S27</x:v>
      </x:c>
      <x:c r="L52" s="3" t="str">
        <x:v>实现路径存在，待执行验收</x:v>
      </x:c>
      <x:c r="M52" s="12" t="str">
        <x:v>未执行</x:v>
      </x:c>
      <x:c r="N52" s="12" t="str"/>
      <x:c r="O52" s="12" t="str"/>
      <x:c r="P52" s="12" t="str"/>
    </x:row>
    <x:row r="53" ht="42" customHeight="1">
      <x:c r="A53" s="3" t="str">
        <x:v>SEL-006</x:v>
      </x:c>
      <x:c r="B53" s="3" t="str">
        <x:v>会话资源选择与草稿</x:v>
      </x:c>
      <x:c r="C53" s="3" t="str">
        <x:v>无专家直接使用资源</x:v>
      </x:c>
      <x:c r="D53" s="3" t="str">
        <x:v>P0</x:v>
      </x:c>
      <x:c r="E53" s="3" t="str">
        <x:v>正向</x:v>
      </x:c>
      <x:c r="F53" s="3" t="str">
        <x:v>Web + API + DB + recording Executor</x:v>
      </x:c>
      <x:c r="G53" s="3" t="str">
        <x:v>A 已有 E1/E2、团队 T1、Skill S1/S2、已测试 MCP C1/C2；Session 和 Run Conversation 各准备两份。</x:v>
      </x:c>
      <x:c r="H53" s="3" t="str">
        <x:v>选择 S1、C1 且 specialist 为空</x:v>
      </x:c>
      <x:c r="I53" s="3" t="str">
        <x:v>1. 发送消息
2. 检查匿名 Stage 冻结资源</x:v>
      </x:c>
      <x:c r="J53" s="3" t="str">
        <x:v>1. 匿名 Stage 实际获得 S1/C1
2. 不强制新建专家</x:v>
      </x:c>
      <x:c r="K53" s="3" t="str">
        <x:v>S02;S06;S07;S27</x:v>
      </x:c>
      <x:c r="L53" s="3" t="str">
        <x:v>实现路径存在，待执行验收</x:v>
      </x:c>
      <x:c r="M53" s="12" t="str">
        <x:v>未执行</x:v>
      </x:c>
      <x:c r="N53" s="12" t="str"/>
      <x:c r="O53" s="12" t="str"/>
      <x:c r="P53" s="12" t="str"/>
    </x:row>
    <x:row r="54" ht="57" customHeight="1">
      <x:c r="A54" s="3" t="str">
        <x:v>SEL-007</x:v>
      </x:c>
      <x:c r="B54" s="3" t="str">
        <x:v>会话资源选择与草稿</x:v>
      </x:c>
      <x:c r="C54" s="3" t="str">
        <x:v>专家选择持续到下轮</x:v>
      </x:c>
      <x:c r="D54" s="3" t="str">
        <x:v>P0</x:v>
      </x:c>
      <x:c r="E54" s="3" t="str">
        <x:v>状态</x:v>
      </x:c>
      <x:c r="F54" s="3" t="str">
        <x:v>Web + API + DB + recording Executor</x:v>
      </x:c>
      <x:c r="G54" s="3" t="str">
        <x:v>A 已有 E1/E2、团队 T1、Skill S1/S2、已测试 MCP C1/C2；Session 和 Run Conversation 各准备两份。</x:v>
      </x:c>
      <x:c r="H54" s="3" t="str">
        <x:v>会话选择 E1</x:v>
      </x:c>
      <x:c r="I54" s="3" t="str">
        <x:v>1. 发送两轮
2. 将专家改为 E2 后再发一轮</x:v>
      </x:c>
      <x:c r="J54" s="3" t="str">
        <x:v>1. 前两轮使用 E1
2. 第三轮使用 E2
3. 已接受历史快照不被改写</x:v>
      </x:c>
      <x:c r="K54" s="3" t="str">
        <x:v>S02;S06;S07;S27</x:v>
      </x:c>
      <x:c r="L54" s="3" t="str">
        <x:v>实现路径存在，待执行验收</x:v>
      </x:c>
      <x:c r="M54" s="12" t="str">
        <x:v>未执行</x:v>
      </x:c>
      <x:c r="N54" s="12" t="str"/>
      <x:c r="O54" s="12" t="str"/>
      <x:c r="P54" s="12" t="str"/>
    </x:row>
    <x:row r="55" ht="57" customHeight="1">
      <x:c r="A55" s="3" t="str">
        <x:v>SEL-008</x:v>
      </x:c>
      <x:c r="B55" s="3" t="str">
        <x:v>会话资源选择与草稿</x:v>
      </x:c>
      <x:c r="C55" s="3" t="str">
        <x:v>明确切换到无专家</x:v>
      </x:c>
      <x:c r="D55" s="3" t="str">
        <x:v>P1</x:v>
      </x:c>
      <x:c r="E55" s="3" t="str">
        <x:v>状态</x:v>
      </x:c>
      <x:c r="F55" s="3" t="str">
        <x:v>Web + API + DB + recording Executor</x:v>
      </x:c>
      <x:c r="G55" s="3" t="str">
        <x:v>A 已有 E1/E2、团队 T1、Skill S1/S2、已测试 MCP C1/C2；Session 和 Run Conversation 各准备两份。</x:v>
      </x:c>
      <x:c r="H55" s="3" t="str">
        <x:v>当前 E1 自带默认资源</x:v>
      </x:c>
      <x:c r="I55" s="3" t="str">
        <x:v>1. 选择“不使用专家”
2. 保留显式 C2
3. 发送</x:v>
      </x:c>
      <x:c r="J55" s="3" t="str">
        <x:v>1. 移除 E1 派生指导和默认资源
2. 显式资源按选择保留</x:v>
      </x:c>
      <x:c r="K55" s="3" t="str">
        <x:v>S02;S06;S07;S27</x:v>
      </x:c>
      <x:c r="L55" s="3" t="str">
        <x:v>实现路径存在，待执行验收</x:v>
      </x:c>
      <x:c r="M55" s="12" t="str">
        <x:v>未执行</x:v>
      </x:c>
      <x:c r="N55" s="12" t="str"/>
      <x:c r="O55" s="12" t="str"/>
      <x:c r="P55" s="12" t="str"/>
    </x:row>
    <x:row r="56" ht="42" customHeight="1">
      <x:c r="A56" s="3" t="str">
        <x:v>SEL-009</x:v>
      </x:c>
      <x:c r="B56" s="3" t="str">
        <x:v>会话资源选择与草稿</x:v>
      </x:c>
      <x:c r="C56" s="3" t="str">
        <x:v>显式 Skill 仅生效一轮</x:v>
      </x:c>
      <x:c r="D56" s="3" t="str">
        <x:v>P0</x:v>
      </x:c>
      <x:c r="E56" s="3" t="str">
        <x:v>状态</x:v>
      </x:c>
      <x:c r="F56" s="3" t="str">
        <x:v>Web + API + DB + recording Executor</x:v>
      </x:c>
      <x:c r="G56" s="3" t="str">
        <x:v>A 已有 E1/E2、团队 T1、Skill S1/S2、已测试 MCP C1/C2；Session 和 Run Conversation 各准备两份。</x:v>
      </x:c>
      <x:c r="H56" s="3" t="str">
        <x:v>E1 自带 S1，用户另加 S2</x:v>
      </x:c>
      <x:c r="I56" s="3" t="str">
        <x:v>1. 发送成功后查看输入框
2. 不再加资源发送下一轮</x:v>
      </x:c>
      <x:c r="J56" s="3" t="str">
        <x:v>1. S2 token 清除且下一轮不注入 S2
2. E1 默认 S1 持续可用</x:v>
      </x:c>
      <x:c r="K56" s="3" t="str">
        <x:v>S02;S06;S07;S27</x:v>
      </x:c>
      <x:c r="L56" s="3" t="str">
        <x:v>实现路径存在，待执行验收</x:v>
      </x:c>
      <x:c r="M56" s="12" t="str">
        <x:v>未执行</x:v>
      </x:c>
      <x:c r="N56" s="12" t="str"/>
      <x:c r="O56" s="12" t="str"/>
      <x:c r="P56" s="12" t="str"/>
    </x:row>
    <x:row r="57" ht="42" customHeight="1">
      <x:c r="A57" s="3" t="str">
        <x:v>SEL-010</x:v>
      </x:c>
      <x:c r="B57" s="3" t="str">
        <x:v>会话资源选择与草稿</x:v>
      </x:c>
      <x:c r="C57" s="3" t="str">
        <x:v>同 Skill 显式新版本覆盖默认旧版本</x:v>
      </x:c>
      <x:c r="D57" s="3" t="str">
        <x:v>P0</x:v>
      </x:c>
      <x:c r="E57" s="3" t="str">
        <x:v>快照</x:v>
      </x:c>
      <x:c r="F57" s="3" t="str">
        <x:v>Web + API + DB + recording Executor</x:v>
      </x:c>
      <x:c r="G57" s="3" t="str">
        <x:v>A 已有 E1/E2、团队 T1、Skill S1/S2、已测试 MCP C1/C2；Session 和 Run Conversation 各准备两份。</x:v>
      </x:c>
      <x:c r="H57" s="3" t="str">
        <x:v>E1 保留 S1 v1；目录 S1 最新 v2</x:v>
      </x:c>
      <x:c r="I57" s="3" t="str">
        <x:v>1. 显式选 S1 v2 发送
2. 下一轮不加 S1 发送</x:v>
      </x:c>
      <x:c r="J57" s="3" t="str">
        <x:v>1. 第一轮每 Stage 仅有 S1 v2
2. 第二轮恢复 E1 保留的 S1 v1</x:v>
      </x:c>
      <x:c r="K57" s="3" t="str">
        <x:v>S02;S06;S07;S27</x:v>
      </x:c>
      <x:c r="L57" s="3" t="str">
        <x:v>实现路径存在，待执行验收</x:v>
      </x:c>
      <x:c r="M57" s="12" t="str">
        <x:v>未执行</x:v>
      </x:c>
      <x:c r="N57" s="12" t="str"/>
      <x:c r="O57" s="12" t="str"/>
      <x:c r="P57" s="12" t="str"/>
    </x:row>
    <x:row r="58" ht="42" customHeight="1">
      <x:c r="A58" s="3" t="str">
        <x:v>SEL-011</x:v>
      </x:c>
      <x:c r="B58" s="3" t="str">
        <x:v>会话资源选择与草稿</x:v>
      </x:c>
      <x:c r="C58" s="3" t="str">
        <x:v>显式 Connector 覆盖继承版本</x:v>
      </x:c>
      <x:c r="D58" s="3" t="str">
        <x:v>P0</x:v>
      </x:c>
      <x:c r="E58" s="3" t="str">
        <x:v>快照</x:v>
      </x:c>
      <x:c r="F58" s="3" t="str">
        <x:v>Web + API + DB + recording Executor</x:v>
      </x:c>
      <x:c r="G58" s="3" t="str">
        <x:v>A 已有 E1/E2、团队 T1、Skill S1/S2、已测试 MCP C1/C2；Session 和 Run Conversation 各准备两份。</x:v>
      </x:c>
      <x:c r="H58" s="3" t="str">
        <x:v>E1 保留 C1 v1；显式选择 C1 v2</x:v>
      </x:c>
      <x:c r="I58" s="3" t="str">
        <x:v>1. 选择 C1 v2 发送
2. 检查 Stage 去重和后续选择</x:v>
      </x:c>
      <x:c r="J58" s="3" t="str">
        <x:v>1. 显式版本优先且每身份仅一个版本
2. 持续 Connector 选择遵守保留规则</x:v>
      </x:c>
      <x:c r="K58" s="3" t="str">
        <x:v>S02;S06;S07;S27</x:v>
      </x:c>
      <x:c r="L58" s="3" t="str">
        <x:v>实现路径存在，待执行验收</x:v>
      </x:c>
      <x:c r="M58" s="12" t="str">
        <x:v>未执行</x:v>
      </x:c>
      <x:c r="N58" s="12" t="str"/>
      <x:c r="O58" s="12" t="str"/>
      <x:c r="P58" s="12" t="str"/>
    </x:row>
    <x:row r="59" ht="57" customHeight="1">
      <x:c r="A59" s="3" t="str">
        <x:v>SEL-012</x:v>
      </x:c>
      <x:c r="B59" s="3" t="str">
        <x:v>会话资源选择与草稿</x:v>
      </x:c>
      <x:c r="C59" s="3" t="str">
        <x:v>禁用专家默认 Connector</x:v>
      </x:c>
      <x:c r="D59" s="3" t="str">
        <x:v>P0</x:v>
      </x:c>
      <x:c r="E59" s="3" t="str">
        <x:v>权限</x:v>
      </x:c>
      <x:c r="F59" s="3" t="str">
        <x:v>Web + API + DB + recording Executor</x:v>
      </x:c>
      <x:c r="G59" s="3" t="str">
        <x:v>A 已有 E1/E2、团队 T1、Skill S1/S2、已测试 MCP C1/C2；Session 和 Run Conversation 各准备两份。</x:v>
      </x:c>
      <x:c r="H59" s="3" t="str">
        <x:v>E1 默认含 C1</x:v>
      </x:c>
      <x:c r="I59" s="3" t="str">
        <x:v>1. 输入框关闭 C1
2. 发送
3. 查看可执行工具和 Expert 定义</x:v>
      </x:c>
      <x:c r="J59" s="3" t="str">
        <x:v>1. 本会话不执行 C1
2. Expert 可复用定义不被修改
3. 排除优先于继承默认</x:v>
      </x:c>
      <x:c r="K59" s="3" t="str">
        <x:v>S02;S06;S07;S27</x:v>
      </x:c>
      <x:c r="L59" s="3" t="str">
        <x:v>实现路径存在，待执行验收</x:v>
      </x:c>
      <x:c r="M59" s="12" t="str">
        <x:v>未执行</x:v>
      </x:c>
      <x:c r="N59" s="12" t="str"/>
      <x:c r="O59" s="12" t="str"/>
      <x:c r="P59" s="12" t="str"/>
    </x:row>
    <x:row r="60" ht="57" customHeight="1">
      <x:c r="A60" s="3" t="str">
        <x:v>SEL-013</x:v>
      </x:c>
      <x:c r="B60" s="3" t="str">
        <x:v>会话资源选择与草稿</x:v>
      </x:c>
      <x:c r="C60" s="3" t="str">
        <x:v>切换专家保留显式 Connector 覆盖</x:v>
      </x:c>
      <x:c r="D60" s="3" t="str">
        <x:v>P0</x:v>
      </x:c>
      <x:c r="E60" s="3" t="str">
        <x:v>状态</x:v>
      </x:c>
      <x:c r="F60" s="3" t="str">
        <x:v>Web + API + DB + recording Executor</x:v>
      </x:c>
      <x:c r="G60" s="3" t="str">
        <x:v>A 已有 E1/E2、团队 T1、Skill S1/S2、已测试 MCP C1/C2；Session 和 Run Conversation 各准备两份。</x:v>
      </x:c>
      <x:c r="H60" s="3" t="str">
        <x:v>E1/E2 均含 C1，显式新增 C2 并排除 C1</x:v>
      </x:c>
      <x:c r="I60" s="3" t="str">
        <x:v>1. 切换到 E2
2. 发送
3. 检查 Stage</x:v>
      </x:c>
      <x:c r="J60" s="3" t="str">
        <x:v>1. E2 默认资源被采用
2. C2 保留
3. C1 仍被排除</x:v>
      </x:c>
      <x:c r="K60" s="3" t="str">
        <x:v>S02;S06;S07;S27</x:v>
      </x:c>
      <x:c r="L60" s="3" t="str">
        <x:v>实现路径存在，待执行验收</x:v>
      </x:c>
      <x:c r="M60" s="12" t="str">
        <x:v>未执行</x:v>
      </x:c>
      <x:c r="N60" s="12" t="str"/>
      <x:c r="O60" s="12" t="str"/>
      <x:c r="P60" s="12" t="str"/>
    </x:row>
    <x:row r="61" ht="57" customHeight="1">
      <x:c r="A61" s="3" t="str">
        <x:v>SEL-014</x:v>
      </x:c>
      <x:c r="B61" s="3" t="str">
        <x:v>会话资源选择与草稿</x:v>
      </x:c>
      <x:c r="C61" s="3" t="str">
        <x:v>目录编辑不刷新保留选择</x:v>
      </x:c>
      <x:c r="D61" s="3" t="str">
        <x:v>P0</x:v>
      </x:c>
      <x:c r="E61" s="3" t="str">
        <x:v>快照</x:v>
      </x:c>
      <x:c r="F61" s="3" t="str">
        <x:v>Web + API + DB + recording Executor</x:v>
      </x:c>
      <x:c r="G61" s="3" t="str">
        <x:v>A 已有 E1/E2、团队 T1、Skill S1/S2、已测试 MCP C1/C2；Session 和 Run Conversation 各准备两份。</x:v>
      </x:c>
      <x:c r="H61" s="3" t="str">
        <x:v>当前选择 E1/S1 v1</x:v>
      </x:c>
      <x:c r="I61" s="3" t="str">
        <x:v>1. 后台更新 E1/S1 到 v2
2. 原会话继续发
3. 查看快照</x:v>
      </x:c>
      <x:c r="J61" s="3" t="str">
        <x:v>1. 保留选择仍使用 v1
2. 历史和新一轮不会静默切到 v2</x:v>
      </x:c>
      <x:c r="K61" s="3" t="str">
        <x:v>S02;S06;S07;S27</x:v>
      </x:c>
      <x:c r="L61" s="3" t="str">
        <x:v>实现路径存在，待执行验收</x:v>
      </x:c>
      <x:c r="M61" s="12" t="str">
        <x:v>未执行</x:v>
      </x:c>
      <x:c r="N61" s="12" t="str"/>
      <x:c r="O61" s="12" t="str"/>
      <x:c r="P61" s="12" t="str"/>
    </x:row>
    <x:row r="62" ht="42" customHeight="1">
      <x:c r="A62" s="3" t="str">
        <x:v>SEL-015</x:v>
      </x:c>
      <x:c r="B62" s="3" t="str">
        <x:v>会话资源选择与草稿</x:v>
      </x:c>
      <x:c r="C62" s="3" t="str">
        <x:v>重新选择采用最新版本</x:v>
      </x:c>
      <x:c r="D62" s="3" t="str">
        <x:v>P1</x:v>
      </x:c>
      <x:c r="E62" s="3" t="str">
        <x:v>快照</x:v>
      </x:c>
      <x:c r="F62" s="3" t="str">
        <x:v>Web + API + DB + recording Executor</x:v>
      </x:c>
      <x:c r="G62" s="3" t="str">
        <x:v>A 已有 E1/E2、团队 T1、Skill S1/S2、已测试 MCP C1/C2；Session 和 Run Conversation 各准备两份。</x:v>
      </x:c>
      <x:c r="H62" s="3" t="str">
        <x:v>目录资源已更新到 v2</x:v>
      </x:c>
      <x:c r="I62" s="3" t="str">
        <x:v>1. 明确移除并重新选择该资源
2. 发送</x:v>
      </x:c>
      <x:c r="J62" s="3" t="str">
        <x:v>1. 新选择使用最新可用版本
2. 旧消息重试仍保持原版本</x:v>
      </x:c>
      <x:c r="K62" s="3" t="str">
        <x:v>S02;S06;S07;S27</x:v>
      </x:c>
      <x:c r="L62" s="3" t="str">
        <x:v>实现路径存在，待执行验收</x:v>
      </x:c>
      <x:c r="M62" s="12" t="str">
        <x:v>未执行</x:v>
      </x:c>
      <x:c r="N62" s="12" t="str"/>
      <x:c r="O62" s="12" t="str"/>
      <x:c r="P62" s="12" t="str"/>
    </x:row>
    <x:row r="63" ht="57" customHeight="1">
      <x:c r="A63" s="3" t="str">
        <x:v>SEL-016</x:v>
      </x:c>
      <x:c r="B63" s="3" t="str">
        <x:v>会话资源选择与草稿</x:v>
      </x:c>
      <x:c r="C63" s="3" t="str">
        <x:v>不可用资源有恢复入口</x:v>
      </x:c>
      <x:c r="D63" s="3" t="str">
        <x:v>P0</x:v>
      </x:c>
      <x:c r="E63" s="3" t="str">
        <x:v>异常</x:v>
      </x:c>
      <x:c r="F63" s="3" t="str">
        <x:v>Web + API + DB + recording Executor</x:v>
      </x:c>
      <x:c r="G63" s="3" t="str">
        <x:v>A 已有 E1/E2、团队 T1、Skill S1/S2、已测试 MCP C1/C2；Session 和 Run Conversation 各准备两份。</x:v>
      </x:c>
      <x:c r="H63" s="3" t="str">
        <x:v>已选择 Connector 被停用或 Skill 修订不可用</x:v>
      </x:c>
      <x:c r="I63" s="3" t="str">
        <x:v>1. 发送或打开保留草稿
2. 查看错误与恢复操作</x:v>
      </x:c>
      <x:c r="J63" s="3" t="str">
        <x:v>1. 不可用资源不能静默忽略
2. 展示原因及重新选择/管理入口
3. 失败草稿保留</x:v>
      </x:c>
      <x:c r="K63" s="3" t="str">
        <x:v>S02;S06;S07;S27</x:v>
      </x:c>
      <x:c r="L63" s="3" t="str">
        <x:v>实现路径存在，待执行验收</x:v>
      </x:c>
      <x:c r="M63" s="12" t="str">
        <x:v>未执行</x:v>
      </x:c>
      <x:c r="N63" s="12" t="str"/>
      <x:c r="O63" s="12" t="str"/>
      <x:c r="P63" s="12" t="str"/>
    </x:row>
    <x:row r="64" ht="42" customHeight="1">
      <x:c r="A64" s="3" t="str">
        <x:v>SEL-017</x:v>
      </x:c>
      <x:c r="B64" s="3" t="str">
        <x:v>会话资源选择与草稿</x:v>
      </x:c>
      <x:c r="C64" s="3" t="str">
        <x:v>团队显式资源广播</x:v>
      </x:c>
      <x:c r="D64" s="3" t="str">
        <x:v>P0</x:v>
      </x:c>
      <x:c r="E64" s="3" t="str">
        <x:v>隔离</x:v>
      </x:c>
      <x:c r="F64" s="3" t="str">
        <x:v>Web + API + DB + recording Executor</x:v>
      </x:c>
      <x:c r="G64" s="3" t="str">
        <x:v>A 已有 E1/E2、团队 T1、Skill S1/S2、已测试 MCP C1/C2；Session 和 Run Conversation 各准备两份。</x:v>
      </x:c>
      <x:c r="H64" s="3" t="str">
        <x:v>T1 成员 M1 默认 S1，M2 默认 S2；显式 S3/C3</x:v>
      </x:c>
      <x:c r="I64" s="3" t="str">
        <x:v>1. 发送团队消息
2. 捕获两个 Stage 的资源</x:v>
      </x:c>
      <x:c r="J64" s="3" t="str">
        <x:v>1. S3/C3 到每位成员
2. M1/M2 各自默认资源不互相泄漏</x:v>
      </x:c>
      <x:c r="K64" s="3" t="str">
        <x:v>S02;S06;S07;S27</x:v>
      </x:c>
      <x:c r="L64" s="3" t="str">
        <x:v>实现路径存在，待执行验收</x:v>
      </x:c>
      <x:c r="M64" s="12" t="str">
        <x:v>未执行</x:v>
      </x:c>
      <x:c r="N64" s="12" t="str"/>
      <x:c r="O64" s="12" t="str"/>
      <x:c r="P64" s="12" t="str"/>
    </x:row>
    <x:row r="65" ht="42" customHeight="1">
      <x:c r="A65" s="3" t="str">
        <x:v>SEL-018</x:v>
      </x:c>
      <x:c r="B65" s="3" t="str">
        <x:v>会话资源选择与草稿</x:v>
      </x:c>
      <x:c r="C65" s="3" t="str">
        <x:v>接受发送后清理下一轮输入</x:v>
      </x:c>
      <x:c r="D65" s="3" t="str">
        <x:v>P0</x:v>
      </x:c>
      <x:c r="E65" s="3" t="str">
        <x:v>状态</x:v>
      </x:c>
      <x:c r="F65" s="3" t="str">
        <x:v>Web + API + DB + recording Executor</x:v>
      </x:c>
      <x:c r="G65" s="3" t="str">
        <x:v>A 已有 E1/E2、团队 T1、Skill S1/S2、已测试 MCP C1/C2；Session 和 Run Conversation 各准备两份。</x:v>
      </x:c>
      <x:c r="H65" s="3" t="str">
        <x:v>正文、显式 Skill、文件、专家和 Connector 均已选</x:v>
      </x:c>
      <x:c r="I65" s="3" t="str">
        <x:v>1. 提交并获得后端接收
2. 查看下一轮草稿</x:v>
      </x:c>
      <x:c r="J65" s="3" t="str">
        <x:v>1. 清空正文、显式 Skill 和文件
2. 保留专家与 Connector 选择</x:v>
      </x:c>
      <x:c r="K65" s="3" t="str">
        <x:v>S02;S06;S07;S27</x:v>
      </x:c>
      <x:c r="L65" s="3" t="str">
        <x:v>实现路径存在，待执行验收</x:v>
      </x:c>
      <x:c r="M65" s="12" t="str">
        <x:v>未执行</x:v>
      </x:c>
      <x:c r="N65" s="12" t="str"/>
      <x:c r="O65" s="12" t="str"/>
      <x:c r="P65" s="12" t="str"/>
    </x:row>
    <x:row r="66" ht="57" customHeight="1">
      <x:c r="A66" s="3" t="str">
        <x:v>SEL-019</x:v>
      </x:c>
      <x:c r="B66" s="3" t="str">
        <x:v>会话资源选择与草稿</x:v>
      </x:c>
      <x:c r="C66" s="3" t="str">
        <x:v>上传失败保留完整草稿</x:v>
      </x:c>
      <x:c r="D66" s="3" t="str">
        <x:v>P0</x:v>
      </x:c>
      <x:c r="E66" s="3" t="str">
        <x:v>恢复</x:v>
      </x:c>
      <x:c r="F66" s="3" t="str">
        <x:v>Web + API + DB + recording Executor</x:v>
      </x:c>
      <x:c r="G66" s="3" t="str">
        <x:v>A 已有 E1/E2、团队 T1、Skill S1/S2、已测试 MCP C1/C2；Session 和 Run Conversation 各准备两份。</x:v>
      </x:c>
      <x:c r="H66" s="3" t="str">
        <x:v>正文和资源已选；上传请求失败</x:v>
      </x:c>
      <x:c r="I66" s="3" t="str">
        <x:v>1. 选择文件并模拟上传失败
2. 恢复网络重试</x:v>
      </x:c>
      <x:c r="J66" s="3" t="str">
        <x:v>1. 正文和所有选择保持
2. 文件显示可重试状态
3. 不创建已接受消息</x:v>
      </x:c>
      <x:c r="K66" s="3" t="str">
        <x:v>S02;S06;S07;S27</x:v>
      </x:c>
      <x:c r="L66" s="3" t="str">
        <x:v>实现路径存在，待执行验收</x:v>
      </x:c>
      <x:c r="M66" s="12" t="str">
        <x:v>未执行</x:v>
      </x:c>
      <x:c r="N66" s="12" t="str"/>
      <x:c r="O66" s="12" t="str"/>
      <x:c r="P66" s="12" t="str"/>
    </x:row>
    <x:row r="67" ht="57" customHeight="1">
      <x:c r="A67" s="3" t="str">
        <x:v>SEL-020</x:v>
      </x:c>
      <x:c r="B67" s="3" t="str">
        <x:v>会话资源选择与草稿</x:v>
      </x:c>
      <x:c r="C67" s="3" t="str">
        <x:v>提交失败保留完整草稿</x:v>
      </x:c>
      <x:c r="D67" s="3" t="str">
        <x:v>P0</x:v>
      </x:c>
      <x:c r="E67" s="3" t="str">
        <x:v>恢复</x:v>
      </x:c>
      <x:c r="F67" s="3" t="str">
        <x:v>Web + API + DB + recording Executor</x:v>
      </x:c>
      <x:c r="G67" s="3" t="str">
        <x:v>A 已有 E1/E2、团队 T1、Skill S1/S2、已测试 MCP C1/C2；Session 和 Run Conversation 各准备两份。</x:v>
      </x:c>
      <x:c r="H67" s="3" t="str">
        <x:v>后端返回版本冲突、422 或网络失败</x:v>
      </x:c>
      <x:c r="I67" s="3" t="str">
        <x:v>1. 提交消息
2. 检查草稿
3. 修正失败原因并重发</x:v>
      </x:c>
      <x:c r="J67" s="3" t="str">
        <x:v>1. 草稿不丢失
2. 选择可恢复
3. 失败请求不清空正文或文件</x:v>
      </x:c>
      <x:c r="K67" s="3" t="str">
        <x:v>S02;S06;S07;S27</x:v>
      </x:c>
      <x:c r="L67" s="3" t="str">
        <x:v>实现路径存在，待执行验收</x:v>
      </x:c>
      <x:c r="M67" s="12" t="str">
        <x:v>未执行</x:v>
      </x:c>
      <x:c r="N67" s="12" t="str"/>
      <x:c r="O67" s="12" t="str"/>
      <x:c r="P67" s="12" t="str"/>
    </x:row>
    <x:row r="68" ht="42" customHeight="1">
      <x:c r="A68" s="3" t="str">
        <x:v>SEL-021</x:v>
      </x:c>
      <x:c r="B68" s="3" t="str">
        <x:v>会话资源选择与草稿</x:v>
      </x:c>
      <x:c r="C68" s="3" t="str">
        <x:v>已接受执行失败不覆盖新草稿</x:v>
      </x:c>
      <x:c r="D68" s="3" t="str">
        <x:v>P0</x:v>
      </x:c>
      <x:c r="E68" s="3" t="str">
        <x:v>并发</x:v>
      </x:c>
      <x:c r="F68" s="3" t="str">
        <x:v>Web + API + DB + recording Executor</x:v>
      </x:c>
      <x:c r="G68" s="3" t="str">
        <x:v>A 已有 E1/E2、团队 T1、Skill S1/S2、已测试 MCP C1/C2；Session 和 Run Conversation 各准备两份。</x:v>
      </x:c>
      <x:c r="H68" s="3" t="str">
        <x:v>第一条已接受；用户开始编写第二条</x:v>
      </x:c>
      <x:c r="I68" s="3" t="str">
        <x:v>1. 令第一条执行失败或取消
2. 查看第二条草稿</x:v>
      </x:c>
      <x:c r="J68" s="3" t="str">
        <x:v>1. 原输入留在历史
2. 不把失败内容自动填回或覆盖新草稿</x:v>
      </x:c>
      <x:c r="K68" s="3" t="str">
        <x:v>S02;S06;S07;S27</x:v>
      </x:c>
      <x:c r="L68" s="3" t="str">
        <x:v>实现路径存在，待执行验收</x:v>
      </x:c>
      <x:c r="M68" s="12" t="str">
        <x:v>未执行</x:v>
      </x:c>
      <x:c r="N68" s="12" t="str"/>
      <x:c r="O68" s="12" t="str"/>
      <x:c r="P68" s="12" t="str"/>
    </x:row>
    <x:row r="69" ht="57" customHeight="1">
      <x:c r="A69" s="3" t="str">
        <x:v>SEL-022</x:v>
      </x:c>
      <x:c r="B69" s="3" t="str">
        <x:v>会话资源选择与草稿</x:v>
      </x:c>
      <x:c r="C69" s="3" t="str">
        <x:v>跨会话与跨用户草稿隔离</x:v>
      </x:c>
      <x:c r="D69" s="3" t="str">
        <x:v>P0</x:v>
      </x:c>
      <x:c r="E69" s="3" t="str">
        <x:v>隔离</x:v>
      </x:c>
      <x:c r="F69" s="3" t="str">
        <x:v>Web + API + DB + recording Executor</x:v>
      </x:c>
      <x:c r="G69" s="3" t="str">
        <x:v>A 已有 E1/E2、团队 T1、Skill S1/S2、已测试 MCP C1/C2；Session 和 Run Conversation 各准备两份。</x:v>
      </x:c>
      <x:c r="H69" s="3" t="str">
        <x:v>A 两个 Session 和两个 Run Conversation；B 登录态</x:v>
      </x:c>
      <x:c r="I69" s="3" t="str">
        <x:v>1. 分别保存不同正文和选择
2. 来回切换并重载
3. 切换到 B</x:v>
      </x:c>
      <x:c r="J69" s="3" t="str">
        <x:v>1. 各草稿按 User 和 conversation 隔离
2. B 不看到 A 的任何草稿</x:v>
      </x:c>
      <x:c r="K69" s="3" t="str">
        <x:v>S02;S06;S07;S27</x:v>
      </x:c>
      <x:c r="L69" s="3" t="str">
        <x:v>实现路径存在，待执行验收</x:v>
      </x:c>
      <x:c r="M69" s="12" t="str">
        <x:v>未执行</x:v>
      </x:c>
      <x:c r="N69" s="12" t="str">
        <x:v>部分步骤证据：E2E-040 通过。完整结果见“E2E执行”。未执行全部原用例步骤，不据此标记整条通过。</x:v>
      </x:c>
      <x:c r="O69" s="12" t="str"/>
      <x:c r="P69" s="12" t="str">
        <x:v>Codex / 2026-09-06 17:21 Asia/Shanghai</x:v>
      </x:c>
    </x:row>
    <x:row r="70" ht="42" customHeight="1">
      <x:c r="A70" s="3" t="str">
        <x:v>SEL-023</x:v>
      </x:c>
      <x:c r="B70" s="3" t="str">
        <x:v>会话资源选择与草稿</x:v>
      </x:c>
      <x:c r="C70" s="3" t="str">
        <x:v>刷新恢复已上传与历史文件</x:v>
      </x:c>
      <x:c r="D70" s="3" t="str">
        <x:v>P1</x:v>
      </x:c>
      <x:c r="E70" s="3" t="str">
        <x:v>恢复</x:v>
      </x:c>
      <x:c r="F70" s="3" t="str">
        <x:v>Web + API + DB + recording Executor</x:v>
      </x:c>
      <x:c r="G70" s="3" t="str">
        <x:v>A 已有 E1/E2、团队 T1、Skill S1/S2、已测试 MCP C1/C2；Session 和 Run Conversation 各准备两份。</x:v>
      </x:c>
      <x:c r="H70" s="3" t="str">
        <x:v>草稿包含已上传附件及历史 File Reference</x:v>
      </x:c>
      <x:c r="I70" s="3" t="str">
        <x:v>1. 刷新并返回原会话
2. 查看选中文件和资源</x:v>
      </x:c>
      <x:c r="J70" s="3" t="str">
        <x:v>1. 可恢复已上传附件与历史引用身份
2. 正文和保留选择完整</x:v>
      </x:c>
      <x:c r="K70" s="3" t="str">
        <x:v>S02;S06;S07;S27</x:v>
      </x:c>
      <x:c r="L70" s="3" t="str">
        <x:v>实现路径存在，待执行验收</x:v>
      </x:c>
      <x:c r="M70" s="12" t="str">
        <x:v>未执行</x:v>
      </x:c>
      <x:c r="N70" s="12" t="str"/>
      <x:c r="O70" s="12" t="str"/>
      <x:c r="P70" s="12" t="str"/>
    </x:row>
    <x:row r="71" ht="57" customHeight="1">
      <x:c r="A71" s="3" t="str">
        <x:v>SEL-024</x:v>
      </x:c>
      <x:c r="B71" s="3" t="str">
        <x:v>会话资源选择与草稿</x:v>
      </x:c>
      <x:c r="C71" s="3" t="str">
        <x:v>未上传本地文件重载提示</x:v>
      </x:c>
      <x:c r="D71" s="3" t="str">
        <x:v>P1</x:v>
      </x:c>
      <x:c r="E71" s="3" t="str">
        <x:v>恢复</x:v>
      </x:c>
      <x:c r="F71" s="3" t="str">
        <x:v>Web + API + DB + recording Executor</x:v>
      </x:c>
      <x:c r="G71" s="3" t="str">
        <x:v>A 已有 E1/E2、团队 T1、Skill S1/S2、已测试 MCP C1/C2；Session 和 Run Conversation 各准备两份。</x:v>
      </x:c>
      <x:c r="H71" s="3" t="str">
        <x:v>仅本地选择尚未上传文件</x:v>
      </x:c>
      <x:c r="I71" s="3" t="str">
        <x:v>1. 刷新页面
2. 查看草稿文件项
3. 重新选择原文件</x:v>
      </x:c>
      <x:c r="J71" s="3" t="str">
        <x:v>1. 明确要求重选本地文件
2. 不假装本地字节仍可发送</x:v>
      </x:c>
      <x:c r="K71" s="3" t="str">
        <x:v>S02;S06;S07;S27</x:v>
      </x:c>
      <x:c r="L71" s="3" t="str">
        <x:v>实现路径存在，待执行验收</x:v>
      </x:c>
      <x:c r="M71" s="12" t="str">
        <x:v>未执行</x:v>
      </x:c>
      <x:c r="N71" s="12" t="str"/>
      <x:c r="O71" s="12" t="str"/>
      <x:c r="P71" s="12" t="str"/>
    </x:row>
    <x:row r="72" ht="57" customHeight="1">
      <x:c r="A72" s="3" t="str">
        <x:v>SEL-025</x:v>
      </x:c>
      <x:c r="B72" s="3" t="str">
        <x:v>会话资源选择与草稿</x:v>
      </x:c>
      <x:c r="C72" s="3" t="str">
        <x:v>目录去使用或召唤不自动发送</x:v>
      </x:c>
      <x:c r="D72" s="3" t="str">
        <x:v>P1</x:v>
      </x:c>
      <x:c r="E72" s="3" t="str">
        <x:v>交互</x:v>
      </x:c>
      <x:c r="F72" s="3" t="str">
        <x:v>Web + API + DB + recording Executor</x:v>
      </x:c>
      <x:c r="G72" s="3" t="str">
        <x:v>A 已有 E1/E2、团队 T1、Skill S1/S2、已测试 MCP C1/C2；Session 和 Run Conversation 各准备两份。</x:v>
      </x:c>
      <x:c r="H72" s="3" t="str">
        <x:v>旧会话已有未发草稿</x:v>
      </x:c>
      <x:c r="I72" s="3" t="str">
        <x:v>1. 从 Skill 点“去使用”或 Expert/Team 点“召唤”
2. 返回旧会话</x:v>
      </x:c>
      <x:c r="J72" s="3" t="str">
        <x:v>1. 打开新 Session 且预选目标资源
2. 不自动发送
3. 原会话草稿独立保留</x:v>
      </x:c>
      <x:c r="K72" s="3" t="str">
        <x:v>S02;S06;S07;S27</x:v>
      </x:c>
      <x:c r="L72" s="3" t="str">
        <x:v>实现路径存在，待执行验收</x:v>
      </x:c>
      <x:c r="M72" s="12" t="str">
        <x:v>未执行</x:v>
      </x:c>
      <x:c r="N72" s="12" t="str"/>
      <x:c r="O72" s="12" t="str"/>
      <x:c r="P72" s="12" t="str"/>
    </x:row>
    <x:row r="73" ht="57" customHeight="1">
      <x:c r="A73" s="3" t="str">
        <x:v>SEL-026</x:v>
      </x:c>
      <x:c r="B73" s="3" t="str">
        <x:v>会话资源选择与草稿</x:v>
      </x:c>
      <x:c r="C73" s="3" t="str">
        <x:v>Workflow 追问不修改定义</x:v>
      </x:c>
      <x:c r="D73" s="3" t="str">
        <x:v>P0</x:v>
      </x:c>
      <x:c r="E73" s="3" t="str">
        <x:v>隔离</x:v>
      </x:c>
      <x:c r="F73" s="3" t="str">
        <x:v>Web + API + DB + recording Executor</x:v>
      </x:c>
      <x:c r="G73" s="3" t="str">
        <x:v>A 已有 E1/E2、团队 T1、Skill S1/S2、已测试 MCP C1/C2；Session 和 Run Conversation 各准备两份。</x:v>
      </x:c>
      <x:c r="H73" s="3" t="str">
        <x:v>Workflow 初始专家 E1；Run Conversation 改 E2/S2</x:v>
      </x:c>
      <x:c r="I73" s="3" t="str">
        <x:v>1. 发送追问
2. 查看 Workflow 定义
3. 再次从手动/API/定时发起新对话</x:v>
      </x:c>
      <x:c r="J73" s="3" t="str">
        <x:v>1. 追问保留原目标与环境
2. 仅当前 conversation 用新选择
3. 后续触发仍用定义默认</x:v>
      </x:c>
      <x:c r="K73" s="3" t="str">
        <x:v>S02;S06;S07;S27</x:v>
      </x:c>
      <x:c r="L73" s="3" t="str">
        <x:v>实现路径存在，待执行验收</x:v>
      </x:c>
      <x:c r="M73" s="12" t="str">
        <x:v>未执行</x:v>
      </x:c>
      <x:c r="N73" s="12" t="str"/>
      <x:c r="O73" s="12" t="str"/>
      <x:c r="P73" s="12" t="str"/>
    </x:row>
    <x:row r="74" ht="42" customHeight="1">
      <x:c r="A74" s="3" t="str">
        <x:v>SEL-027</x:v>
      </x:c>
      <x:c r="B74" s="3" t="str">
        <x:v>会话资源选择与草稿</x:v>
      </x:c>
      <x:c r="C74" s="3" t="str">
        <x:v>伪造选择 ID 或修订跨域</x:v>
      </x:c>
      <x:c r="D74" s="3" t="str">
        <x:v>P0</x:v>
      </x:c>
      <x:c r="E74" s="3" t="str">
        <x:v>权限</x:v>
      </x:c>
      <x:c r="F74" s="3" t="str">
        <x:v>Web + API + DB + recording Executor</x:v>
      </x:c>
      <x:c r="G74" s="3" t="str">
        <x:v>A 已有 E1/E2、团队 T1、Skill S1/S2、已测试 MCP C1/C2；Session 和 Run Conversation 各准备两份。</x:v>
      </x:c>
      <x:c r="H74" s="3" t="str">
        <x:v>其他 User 或其他 conversation 的 selection_id</x:v>
      </x:c>
      <x:c r="I74" s="3" t="str">
        <x:v>1. 通过 API 提交伪造或跨域选择 ID
2. 查询本会话历史</x:v>
      </x:c>
      <x:c r="J74" s="3" t="str">
        <x:v>1. 服务端拒绝且不创建消息
2. 不回显其他所有者资源详情</x:v>
      </x:c>
      <x:c r="K74" s="3" t="str">
        <x:v>S02;S06;S07;S27</x:v>
      </x:c>
      <x:c r="L74" s="3" t="str">
        <x:v>实现路径存在，待执行验收</x:v>
      </x:c>
      <x:c r="M74" s="12" t="str">
        <x:v>未执行</x:v>
      </x:c>
      <x:c r="N74" s="12" t="str"/>
      <x:c r="O74" s="12" t="str"/>
      <x:c r="P74" s="12" t="str"/>
    </x:row>
    <x:row r="75" ht="57" customHeight="1">
      <x:c r="A75" s="3" t="str">
        <x:v>FIL-001</x:v>
      </x:c>
      <x:c r="B75" s="3" t="str">
        <x:v>附件与文件引用</x:v>
      </x:c>
      <x:c r="C75" s="3" t="str">
        <x:v>文本附加普通文件</x:v>
      </x:c>
      <x:c r="D75" s="3" t="str">
        <x:v>P0</x:v>
      </x:c>
      <x:c r="E75" s="3" t="str">
        <x:v>正向</x:v>
      </x:c>
      <x:c r="F75" s="3" t="str">
        <x:v>Web + API + Object Storage + Executor</x:v>
      </x:c>
      <x:c r="G75" s="3" t="str">
        <x:v>A/B 各有会话和 Workflow；准备确定 SHA-256 的文本、PNG、二进制文件及过期 Artifact。</x:v>
      </x:c>
      <x:c r="H75" s="3" t="str">
        <x:v>note.txt 内容为“测试附件42”</x:v>
      </x:c>
      <x:c r="I75" s="3" t="str">
        <x:v>1. 上传附件
2. 输入问题后发送
3. 检查执行读取结果和历史下载</x:v>
      </x:c>
      <x:c r="J75" s="3" t="str">
        <x:v>1. 执行获得实际字节
2. 历史保存名称、类型、大小
3. 下载内容一致</x:v>
      </x:c>
      <x:c r="K75" s="3" t="str">
        <x:v>S01;S02;S08</x:v>
      </x:c>
      <x:c r="L75" s="3" t="str">
        <x:v>实现路径存在，待执行验收</x:v>
      </x:c>
      <x:c r="M75" s="12" t="str">
        <x:v>未执行</x:v>
      </x:c>
      <x:c r="N75" s="12" t="str"/>
      <x:c r="O75" s="12" t="str"/>
      <x:c r="P75" s="12" t="str"/>
    </x:row>
    <x:row r="76" ht="57" customHeight="1">
      <x:c r="A76" s="3" t="str">
        <x:v>FIL-002</x:v>
      </x:c>
      <x:c r="B76" s="3" t="str">
        <x:v>附件与文件引用</x:v>
      </x:c>
      <x:c r="C76" s="3" t="str">
        <x:v>仅文件消息</x:v>
      </x:c>
      <x:c r="D76" s="3" t="str">
        <x:v>P1</x:v>
      </x:c>
      <x:c r="E76" s="3" t="str">
        <x:v>正向</x:v>
      </x:c>
      <x:c r="F76" s="3" t="str">
        <x:v>Web + API + Object Storage + Executor</x:v>
      </x:c>
      <x:c r="G76" s="3" t="str">
        <x:v>A/B 各有会话和 Workflow；准备确定 SHA-256 的文本、PNG、二进制文件及过期 Artifact。</x:v>
      </x:c>
      <x:c r="H76" s="3" t="str">
        <x:v>正文为空；选择一份有效附件</x:v>
      </x:c>
      <x:c r="I76" s="3" t="str">
        <x:v>1. 上传文件并发送
2. 查看接受消息和执行输入</x:v>
      </x:c>
      <x:c r="J76" s="3" t="str">
        <x:v>1. 允许纯附件消息
2. 执行接收该文件
3. 不是仅插入文件名</x:v>
      </x:c>
      <x:c r="K76" s="3" t="str">
        <x:v>S01;S02;S08</x:v>
      </x:c>
      <x:c r="L76" s="3" t="str">
        <x:v>实现路径存在，待执行验收</x:v>
      </x:c>
      <x:c r="M76" s="12" t="str">
        <x:v>未执行</x:v>
      </x:c>
      <x:c r="N76" s="12" t="str"/>
      <x:c r="O76" s="12" t="str"/>
      <x:c r="P76" s="12" t="str"/>
    </x:row>
    <x:row r="77" ht="57" customHeight="1">
      <x:c r="A77" s="3" t="str">
        <x:v>FIL-003</x:v>
      </x:c>
      <x:c r="B77" s="3" t="str">
        <x:v>附件与文件引用</x:v>
      </x:c>
      <x:c r="C77" s="3" t="str">
        <x:v>图片上传与显示</x:v>
      </x:c>
      <x:c r="D77" s="3" t="str">
        <x:v>P0</x:v>
      </x:c>
      <x:c r="E77" s="3" t="str">
        <x:v>正向</x:v>
      </x:c>
      <x:c r="F77" s="3" t="str">
        <x:v>Web + API + Object Storage + Executor</x:v>
      </x:c>
      <x:c r="G77" s="3" t="str">
        <x:v>A/B 各有会话和 Workflow；准备确定 SHA-256 的文本、PNG、二进制文件及过期 Artifact。</x:v>
      </x:c>
      <x:c r="H77" s="3" t="str">
        <x:v>PNG 和 JPEG 各一张</x:v>
      </x:c>
      <x:c r="I77" s="3" t="str">
        <x:v>1. 上传图片
2. 检查预览
3. 发送并重新打开会话</x:v>
      </x:c>
      <x:c r="J77" s="3" t="str">
        <x:v>1. 预览和历史归属正确
2. Codex 接收 image 参数
3. 其他 Runtime 图像理解须独立验证</x:v>
      </x:c>
      <x:c r="K77" s="3" t="str">
        <x:v>S01;S02;S08</x:v>
      </x:c>
      <x:c r="L77" s="3" t="str">
        <x:v>实现路径存在，待执行验收</x:v>
      </x:c>
      <x:c r="M77" s="12" t="str">
        <x:v>未执行</x:v>
      </x:c>
      <x:c r="N77" s="12" t="str"/>
      <x:c r="O77" s="12" t="str"/>
      <x:c r="P77" s="12" t="str"/>
    </x:row>
    <x:row r="78" ht="42" customHeight="1">
      <x:c r="A78" s="3" t="str">
        <x:v>FIL-004</x:v>
      </x:c>
      <x:c r="B78" s="3" t="str">
        <x:v>附件与文件引用</x:v>
      </x:c>
      <x:c r="C78" s="3" t="str">
        <x:v>空消息拒绝</x:v>
      </x:c>
      <x:c r="D78" s="3" t="str">
        <x:v>P1</x:v>
      </x:c>
      <x:c r="E78" s="3" t="str">
        <x:v>边界</x:v>
      </x:c>
      <x:c r="F78" s="3" t="str">
        <x:v>Web + API + Object Storage + Executor</x:v>
      </x:c>
      <x:c r="G78" s="3" t="str">
        <x:v>A/B 各有会话和 Workflow；准备确定 SHA-256 的文本、PNG、二进制文件及过期 Artifact。</x:v>
      </x:c>
      <x:c r="H78" s="3" t="str">
        <x:v>空白正文且无附件或引用</x:v>
      </x:c>
      <x:c r="I78" s="3" t="str">
        <x:v>1. 点击发送或直接调用发送接口</x:v>
      </x:c>
      <x:c r="J78" s="3" t="str">
        <x:v>1. 不创建空白 User/Assistant 轮次
2. 提示输入文本或添加文件</x:v>
      </x:c>
      <x:c r="K78" s="3" t="str">
        <x:v>S01;S02;S08</x:v>
      </x:c>
      <x:c r="L78" s="3" t="str">
        <x:v>实现路径存在，待执行验收</x:v>
      </x:c>
      <x:c r="M78" s="12" t="str">
        <x:v>未执行</x:v>
      </x:c>
      <x:c r="N78" s="12" t="str"/>
      <x:c r="O78" s="12" t="str"/>
      <x:c r="P78" s="12" t="str"/>
    </x:row>
    <x:row r="79" ht="42" customHeight="1">
      <x:c r="A79" s="3" t="str">
        <x:v>FIL-005</x:v>
      </x:c>
      <x:c r="B79" s="3" t="str">
        <x:v>附件与文件引用</x:v>
      </x:c>
      <x:c r="C79" s="3" t="str">
        <x:v>单文件 100 MiB 边界</x:v>
      </x:c>
      <x:c r="D79" s="3" t="str">
        <x:v>P0</x:v>
      </x:c>
      <x:c r="E79" s="3" t="str">
        <x:v>边界</x:v>
      </x:c>
      <x:c r="F79" s="3" t="str">
        <x:v>Web + API + Object Storage + Executor</x:v>
      </x:c>
      <x:c r="G79" s="3" t="str">
        <x:v>A/B 各有会话和 Workflow；准备确定 SHA-256 的文本、PNG、二进制文件及过期 Artifact。</x:v>
      </x:c>
      <x:c r="H79" s="3" t="str">
        <x:v>104857599、104857600、104857601 字节文件</x:v>
      </x:c>
      <x:c r="I79" s="3" t="str">
        <x:v>1. 分别上传三份文件
2. 对比响应与对象存储</x:v>
      </x:c>
      <x:c r="J79" s="3" t="str">
        <x:v>1. 前两份满足大小限制
2. 超限请求拒绝且无可用附件记录</x:v>
      </x:c>
      <x:c r="K79" s="3" t="str">
        <x:v>S01;S02;S08</x:v>
      </x:c>
      <x:c r="L79" s="3" t="str">
        <x:v>实现路径存在，待执行验收</x:v>
      </x:c>
      <x:c r="M79" s="12" t="str">
        <x:v>未执行</x:v>
      </x:c>
      <x:c r="N79" s="12" t="str"/>
      <x:c r="O79" s="12" t="str"/>
      <x:c r="P79" s="12" t="str"/>
    </x:row>
    <x:row r="80" ht="57" customHeight="1">
      <x:c r="A80" s="3" t="str">
        <x:v>FIL-006</x:v>
      </x:c>
      <x:c r="B80" s="3" t="str">
        <x:v>附件与文件引用</x:v>
      </x:c>
      <x:c r="C80" s="3" t="str">
        <x:v>每轮十个不同文件上限</x:v>
      </x:c>
      <x:c r="D80" s="3" t="str">
        <x:v>P0</x:v>
      </x:c>
      <x:c r="E80" s="3" t="str">
        <x:v>边界</x:v>
      </x:c>
      <x:c r="F80" s="3" t="str">
        <x:v>Web + API + Object Storage + Executor</x:v>
      </x:c>
      <x:c r="G80" s="3" t="str">
        <x:v>A/B 各有会话和 Workflow；准备确定 SHA-256 的文本、PNG、二进制文件及过期 Artifact。</x:v>
      </x:c>
      <x:c r="H80" s="3" t="str">
        <x:v>9、10、11 个不同文件；混合上传与引用</x:v>
      </x:c>
      <x:c r="I80" s="3" t="str">
        <x:v>1. 分别提交三组消息
2. 检查接受文件数</x:v>
      </x:c>
      <x:c r="J80" s="3" t="str">
        <x:v>1. 总计按不同文件计算
2. 10 个以内允许
3. 11 个整体拒绝且草稿保留</x:v>
      </x:c>
      <x:c r="K80" s="3" t="str">
        <x:v>S01;S02;S08</x:v>
      </x:c>
      <x:c r="L80" s="3" t="str">
        <x:v>实现路径存在，待执行验收</x:v>
      </x:c>
      <x:c r="M80" s="12" t="str">
        <x:v>未执行</x:v>
      </x:c>
      <x:c r="N80" s="12" t="str"/>
      <x:c r="O80" s="12" t="str"/>
      <x:c r="P80" s="12" t="str"/>
    </x:row>
    <x:row r="81" ht="42" customHeight="1">
      <x:c r="A81" s="3" t="str">
        <x:v>FIL-007</x:v>
      </x:c>
      <x:c r="B81" s="3" t="str">
        <x:v>附件与文件引用</x:v>
      </x:c>
      <x:c r="C81" s="3" t="str">
        <x:v>重复文件引用去重</x:v>
      </x:c>
      <x:c r="D81" s="3" t="str">
        <x:v>P1</x:v>
      </x:c>
      <x:c r="E81" s="3" t="str">
        <x:v>边界</x:v>
      </x:c>
      <x:c r="F81" s="3" t="str">
        <x:v>Web + API + Object Storage + Executor</x:v>
      </x:c>
      <x:c r="G81" s="3" t="str">
        <x:v>A/B 各有会话和 Workflow；准备确定 SHA-256 的文本、PNG、二进制文件及过期 Artifact。</x:v>
      </x:c>
      <x:c r="H81" s="3" t="str">
        <x:v>同一文件多次 @ 引用并与上传选择重复</x:v>
      </x:c>
      <x:c r="I81" s="3" t="str">
        <x:v>1. 构造同身份重复引用
2. 发送并查看冻结列表</x:v>
      </x:c>
      <x:c r="J81" s="3" t="str">
        <x:v>1. 相同文件只计一次并仅物化一份
2. 不挤占多余配额</x:v>
      </x:c>
      <x:c r="K81" s="3" t="str">
        <x:v>S01;S02;S08</x:v>
      </x:c>
      <x:c r="L81" s="3" t="str">
        <x:v>实现路径存在，待执行验收</x:v>
      </x:c>
      <x:c r="M81" s="12" t="str">
        <x:v>未执行</x:v>
      </x:c>
      <x:c r="N81" s="12" t="str"/>
      <x:c r="O81" s="12" t="str"/>
      <x:c r="P81" s="12" t="str"/>
    </x:row>
    <x:row r="82" ht="57" customHeight="1">
      <x:c r="A82" s="3" t="str">
        <x:v>FIL-008</x:v>
      </x:c>
      <x:c r="B82" s="3" t="str">
        <x:v>附件与文件引用</x:v>
      </x:c>
      <x:c r="C82" s="3" t="str">
        <x:v>同名不同文件区分</x:v>
      </x:c>
      <x:c r="D82" s="3" t="str">
        <x:v>P1</x:v>
      </x:c>
      <x:c r="E82" s="3" t="str">
        <x:v>交互</x:v>
      </x:c>
      <x:c r="F82" s="3" t="str">
        <x:v>Web + API + Object Storage + Executor</x:v>
      </x:c>
      <x:c r="G82" s="3" t="str">
        <x:v>A/B 各有会话和 Workflow；准备确定 SHA-256 的文本、PNG、二进制文件及过期 Artifact。</x:v>
      </x:c>
      <x:c r="H82" s="3" t="str">
        <x:v>附件/report.txt 与 Workspace/docs/report.txt</x:v>
      </x:c>
      <x:c r="I82" s="3" t="str">
        <x:v>1. 打开 @ 文件列表
2. 分别选择两个同名文件
3. 发送</x:v>
      </x:c>
      <x:c r="J82" s="3" t="str">
        <x:v>1. 显示来源或路径以区分
2. 两者身份和字节独立且计两个文件</x:v>
      </x:c>
      <x:c r="K82" s="3" t="str">
        <x:v>S01;S02;S08</x:v>
      </x:c>
      <x:c r="L82" s="3" t="str">
        <x:v>实现路径存在，待执行验收</x:v>
      </x:c>
      <x:c r="M82" s="12" t="str">
        <x:v>未执行</x:v>
      </x:c>
      <x:c r="N82" s="12" t="str"/>
      <x:c r="O82" s="12" t="str"/>
      <x:c r="P82" s="12" t="str"/>
    </x:row>
    <x:row r="83" ht="57" customHeight="1">
      <x:c r="A83" s="3" t="str">
        <x:v>FIL-009</x:v>
      </x:c>
      <x:c r="B83" s="3" t="str">
        <x:v>附件与文件引用</x:v>
      </x:c>
      <x:c r="C83" s="3" t="str">
        <x:v>引用本会话历史附件</x:v>
      </x:c>
      <x:c r="D83" s="3" t="str">
        <x:v>P0</x:v>
      </x:c>
      <x:c r="E83" s="3" t="str">
        <x:v>正向</x:v>
      </x:c>
      <x:c r="F83" s="3" t="str">
        <x:v>Web + API + Object Storage + Executor</x:v>
      </x:c>
      <x:c r="G83" s="3" t="str">
        <x:v>A/B 各有会话和 Workflow；准备确定 SHA-256 的文本、PNG、二进制文件及过期 Artifact。</x:v>
      </x:c>
      <x:c r="H83" s="3" t="str">
        <x:v>先前消息已上传 note.txt</x:v>
      </x:c>
      <x:c r="I83" s="3" t="str">
        <x:v>1. 新消息用 @ 选择历史附件
2. 发送
3. 检查 Runtime 副本</x:v>
      </x:c>
      <x:c r="J83" s="3" t="str">
        <x:v>1. 实际内容可读且与源字节一致
2. 引用固定于接受时</x:v>
      </x:c>
      <x:c r="K83" s="3" t="str">
        <x:v>S01;S02;S08</x:v>
      </x:c>
      <x:c r="L83" s="3" t="str">
        <x:v>实现路径存在，待执行验收</x:v>
      </x:c>
      <x:c r="M83" s="12" t="str">
        <x:v>未执行</x:v>
      </x:c>
      <x:c r="N83" s="12" t="str"/>
      <x:c r="O83" s="12" t="str"/>
      <x:c r="P83" s="12" t="str"/>
    </x:row>
    <x:row r="84" ht="42" customHeight="1">
      <x:c r="A84" s="3" t="str">
        <x:v>FIL-010</x:v>
      </x:c>
      <x:c r="B84" s="3" t="str">
        <x:v>附件与文件引用</x:v>
      </x:c>
      <x:c r="C84" s="3" t="str">
        <x:v>引用当前会话 Artifact</x:v>
      </x:c>
      <x:c r="D84" s="3" t="str">
        <x:v>P0</x:v>
      </x:c>
      <x:c r="E84" s="3" t="str">
        <x:v>正向</x:v>
      </x:c>
      <x:c r="F84" s="3" t="str">
        <x:v>Web + API + Object Storage + Executor</x:v>
      </x:c>
      <x:c r="G84" s="3" t="str">
        <x:v>A/B 各有会话和 Workflow；准备确定 SHA-256 的文本、PNG、二进制文件及过期 Artifact。</x:v>
      </x:c>
      <x:c r="H84" s="3" t="str">
        <x:v>同会话成功生成 report.csv</x:v>
      </x:c>
      <x:c r="I84" s="3" t="str">
        <x:v>1. 新消息引用 report.csv
2. 发送并再次下载</x:v>
      </x:c>
      <x:c r="J84" s="3" t="str">
        <x:v>1. 可执行使用原内容
2. 引用身份不使用短期签名 URL</x:v>
      </x:c>
      <x:c r="K84" s="3" t="str">
        <x:v>S01;S02;S08</x:v>
      </x:c>
      <x:c r="L84" s="3" t="str">
        <x:v>实现路径存在，待执行验收</x:v>
      </x:c>
      <x:c r="M84" s="12" t="str">
        <x:v>未执行</x:v>
      </x:c>
      <x:c r="N84" s="12" t="str"/>
      <x:c r="O84" s="12" t="str"/>
      <x:c r="P84" s="12" t="str"/>
    </x:row>
    <x:row r="85" ht="57" customHeight="1">
      <x:c r="A85" s="3" t="str">
        <x:v>FIL-011</x:v>
      </x:c>
      <x:c r="B85" s="3" t="str">
        <x:v>附件与文件引用</x:v>
      </x:c>
      <x:c r="C85" s="3" t="str">
        <x:v>Workflow 引用 Workspace 文件</x:v>
      </x:c>
      <x:c r="D85" s="3" t="str">
        <x:v>P0</x:v>
      </x:c>
      <x:c r="E85" s="3" t="str">
        <x:v>正向</x:v>
      </x:c>
      <x:c r="F85" s="3" t="str">
        <x:v>Web + API + Object Storage + Executor</x:v>
      </x:c>
      <x:c r="G85" s="3" t="str">
        <x:v>A/B 各有会话和 Workflow；准备确定 SHA-256 的文本、PNG、二进制文件及过期 Artifact。</x:v>
      </x:c>
      <x:c r="H85" s="3" t="str">
        <x:v>Workspace/docs/report.txt 内容 v1</x:v>
      </x:c>
      <x:c r="I85" s="3" t="str">
        <x:v>1. 追问通过 Workspace 分组选文件
2. 接受消息
3. 查看只读参考副本</x:v>
      </x:c>
      <x:c r="J85" s="3" t="str">
        <x:v>1. 来源分组明确
2. 冻结 v1 字节
3. 不把整个 Workspace 冻结为旧版本</x:v>
      </x:c>
      <x:c r="K85" s="3" t="str">
        <x:v>S01;S02;S08</x:v>
      </x:c>
      <x:c r="L85" s="3" t="str">
        <x:v>实现路径存在，待执行验收</x:v>
      </x:c>
      <x:c r="M85" s="12" t="str">
        <x:v>未执行</x:v>
      </x:c>
      <x:c r="N85" s="12" t="str"/>
      <x:c r="O85" s="12" t="str"/>
      <x:c r="P85" s="12" t="str"/>
    </x:row>
    <x:row r="86" ht="57" customHeight="1">
      <x:c r="A86" s="3" t="str">
        <x:v>FIL-012</x:v>
      </x:c>
      <x:c r="B86" s="3" t="str">
        <x:v>附件与文件引用</x:v>
      </x:c>
      <x:c r="C86" s="3" t="str">
        <x:v>排队期间 Workspace 变化</x:v>
      </x:c>
      <x:c r="D86" s="3" t="str">
        <x:v>P0</x:v>
      </x:c>
      <x:c r="E86" s="3" t="str">
        <x:v>快照</x:v>
      </x:c>
      <x:c r="F86" s="3" t="str">
        <x:v>Web + API + Object Storage + Executor</x:v>
      </x:c>
      <x:c r="G86" s="3" t="str">
        <x:v>A/B 各有会话和 Workflow；准备确定 SHA-256 的文本、PNG、二进制文件及过期 Artifact。</x:v>
      </x:c>
      <x:c r="H86" s="3" t="str">
        <x:v>追问引用 v1 后排队；前一 Run 将文件改为 v2</x:v>
      </x:c>
      <x:c r="I86" s="3" t="str">
        <x:v>1. 接受带引用消息
2. 允许前一 Run 合并 v2
3. 执行排队轮次</x:v>
      </x:c>
      <x:c r="J86" s="3" t="str">
        <x:v>1. File Reference 仍是 v1
2. 活的 Workspace 按串行执行规则可为 v2</x:v>
      </x:c>
      <x:c r="K86" s="3" t="str">
        <x:v>S01;S02;S08</x:v>
      </x:c>
      <x:c r="L86" s="3" t="str">
        <x:v>实现路径存在，待执行验收</x:v>
      </x:c>
      <x:c r="M86" s="12" t="str">
        <x:v>未执行</x:v>
      </x:c>
      <x:c r="N86" s="12" t="str"/>
      <x:c r="O86" s="12" t="str"/>
      <x:c r="P86" s="12" t="str"/>
    </x:row>
    <x:row r="87" ht="57" customHeight="1">
      <x:c r="A87" s="3" t="str">
        <x:v>FIL-013</x:v>
      </x:c>
      <x:c r="B87" s="3" t="str">
        <x:v>附件与文件引用</x:v>
      </x:c>
      <x:c r="C87" s="3" t="str">
        <x:v>已接受引用不随 Artifact 过期</x:v>
      </x:c>
      <x:c r="D87" s="3" t="str">
        <x:v>P0</x:v>
      </x:c>
      <x:c r="E87" s="3" t="str">
        <x:v>生命周期</x:v>
      </x:c>
      <x:c r="F87" s="3" t="str">
        <x:v>Web + API + Object Storage + Executor</x:v>
      </x:c>
      <x:c r="G87" s="3" t="str">
        <x:v>A/B 各有会话和 Workflow；准备确定 SHA-256 的文本、PNG、二进制文件及过期 Artifact。</x:v>
      </x:c>
      <x:c r="H87" s="3" t="str">
        <x:v>接受引用后将源 Artifact 到期</x:v>
      </x:c>
      <x:c r="I87" s="3" t="str">
        <x:v>1. 先接受消息
2. 让源 Artifact 过期并清理
3. 执行或重试原消息</x:v>
      </x:c>
      <x:c r="J87" s="3" t="str">
        <x:v>1. 已接受副本仍可用
2. 源到期不破坏已接受历史输入</x:v>
      </x:c>
      <x:c r="K87" s="3" t="str">
        <x:v>S01;S02;S08</x:v>
      </x:c>
      <x:c r="L87" s="3" t="str">
        <x:v>实现路径存在，待执行验收</x:v>
      </x:c>
      <x:c r="M87" s="12" t="str">
        <x:v>未执行</x:v>
      </x:c>
      <x:c r="N87" s="12" t="str"/>
      <x:c r="O87" s="12" t="str"/>
      <x:c r="P87" s="12" t="str"/>
    </x:row>
    <x:row r="88" ht="57" customHeight="1">
      <x:c r="A88" s="3" t="str">
        <x:v>FIL-014</x:v>
      </x:c>
      <x:c r="B88" s="3" t="str">
        <x:v>附件与文件引用</x:v>
      </x:c>
      <x:c r="C88" s="3" t="str">
        <x:v>未接受的过期引用拒绝</x:v>
      </x:c>
      <x:c r="D88" s="3" t="str">
        <x:v>P1</x:v>
      </x:c>
      <x:c r="E88" s="3" t="str">
        <x:v>异常</x:v>
      </x:c>
      <x:c r="F88" s="3" t="str">
        <x:v>Web + API + Object Storage + Executor</x:v>
      </x:c>
      <x:c r="G88" s="3" t="str">
        <x:v>A/B 各有会话和 Workflow；准备确定 SHA-256 的文本、PNG、二进制文件及过期 Artifact。</x:v>
      </x:c>
      <x:c r="H88" s="3" t="str">
        <x:v>草稿中所选 Artifact 已过期</x:v>
      </x:c>
      <x:c r="I88" s="3" t="str">
        <x:v>1. 提交草稿
2. 检查错误及草稿
3. 重新选择可用文件</x:v>
      </x:c>
      <x:c r="J88" s="3" t="str">
        <x:v>1. 拒绝并说明文件不可用
2. 正文与其他选择保留
3. 不悄悄丢文件执行</x:v>
      </x:c>
      <x:c r="K88" s="3" t="str">
        <x:v>S01;S02;S08</x:v>
      </x:c>
      <x:c r="L88" s="3" t="str">
        <x:v>实现路径存在，待执行验收</x:v>
      </x:c>
      <x:c r="M88" s="12" t="str">
        <x:v>未执行</x:v>
      </x:c>
      <x:c r="N88" s="12" t="str"/>
      <x:c r="O88" s="12" t="str"/>
      <x:c r="P88" s="12" t="str"/>
    </x:row>
    <x:row r="89" ht="42" customHeight="1">
      <x:c r="A89" s="3" t="str">
        <x:v>FIL-015</x:v>
      </x:c>
      <x:c r="B89" s="3" t="str">
        <x:v>附件与文件引用</x:v>
      </x:c>
      <x:c r="C89" s="3" t="str">
        <x:v>跨用户附件 ID 拒绝</x:v>
      </x:c>
      <x:c r="D89" s="3" t="str">
        <x:v>P0</x:v>
      </x:c>
      <x:c r="E89" s="3" t="str">
        <x:v>权限</x:v>
      </x:c>
      <x:c r="F89" s="3" t="str">
        <x:v>Web + API + Object Storage + Executor</x:v>
      </x:c>
      <x:c r="G89" s="3" t="str">
        <x:v>A/B 各有会话和 Workflow；准备确定 SHA-256 的文本、PNG、二进制文件及过期 Artifact。</x:v>
      </x:c>
      <x:c r="H89" s="3" t="str">
        <x:v>B 的 attachment_id</x:v>
      </x:c>
      <x:c r="I89" s="3" t="str">
        <x:v>1. A 下载 B 附件并尝试发送该 ID</x:v>
      </x:c>
      <x:c r="J89" s="3" t="str">
        <x:v>1. 读写均按 owner 拒绝
2. 不会返回文件字节或名称等详情</x:v>
      </x:c>
      <x:c r="K89" s="3" t="str">
        <x:v>S01;S02;S08</x:v>
      </x:c>
      <x:c r="L89" s="3" t="str">
        <x:v>实现路径存在，待执行验收</x:v>
      </x:c>
      <x:c r="M89" s="12" t="str">
        <x:v>未执行</x:v>
      </x:c>
      <x:c r="N89" s="12" t="str">
        <x:v>部分步骤证据：E2E-020 通过。完整结果见“E2E执行”。未执行全部原用例步骤，不据此标记整条通过。</x:v>
      </x:c>
      <x:c r="O89" s="12" t="str"/>
      <x:c r="P89" s="12" t="str">
        <x:v>Codex / 2026-09-06 17:21 Asia/Shanghai</x:v>
      </x:c>
    </x:row>
    <x:row r="90" ht="42" customHeight="1">
      <x:c r="A90" s="3" t="str">
        <x:v>FIL-016</x:v>
      </x:c>
      <x:c r="B90" s="3" t="str">
        <x:v>附件与文件引用</x:v>
      </x:c>
      <x:c r="C90" s="3" t="str">
        <x:v>跨会话历史引用拒绝</x:v>
      </x:c>
      <x:c r="D90" s="3" t="str">
        <x:v>P0</x:v>
      </x:c>
      <x:c r="E90" s="3" t="str">
        <x:v>权限</x:v>
      </x:c>
      <x:c r="F90" s="3" t="str">
        <x:v>Web + API + Object Storage + Executor</x:v>
      </x:c>
      <x:c r="G90" s="3" t="str">
        <x:v>A/B 各有会话和 Workflow；准备确定 SHA-256 的文本、PNG、二进制文件及过期 Artifact。</x:v>
      </x:c>
      <x:c r="H90" s="3" t="str">
        <x:v>A 自己另一 Session 的附件/Artifact 引用</x:v>
      </x:c>
      <x:c r="I90" s="3" t="str">
        <x:v>1. 在当前 Session 伪造历史引用
2. 提交</x:v>
      </x:c>
      <x:c r="J90" s="3" t="str">
        <x:v>1. 服务端校验 conversation scope
2. 拒绝跨会话引用，不能只检查所有者</x:v>
      </x:c>
      <x:c r="K90" s="3" t="str">
        <x:v>S01;S02;S08</x:v>
      </x:c>
      <x:c r="L90" s="3" t="str">
        <x:v>实现路径存在，待执行验收</x:v>
      </x:c>
      <x:c r="M90" s="12" t="str">
        <x:v>未执行</x:v>
      </x:c>
      <x:c r="N90" s="12" t="str"/>
      <x:c r="O90" s="12" t="str"/>
      <x:c r="P90" s="12" t="str"/>
    </x:row>
    <x:row r="91" ht="42" customHeight="1">
      <x:c r="A91" s="3" t="str">
        <x:v>FIL-017</x:v>
      </x:c>
      <x:c r="B91" s="3" t="str">
        <x:v>附件与文件引用</x:v>
      </x:c>
      <x:c r="C91" s="3" t="str">
        <x:v>Workspace 越界与符号链接</x:v>
      </x:c>
      <x:c r="D91" s="3" t="str">
        <x:v>P0</x:v>
      </x:c>
      <x:c r="E91" s="3" t="str">
        <x:v>安全</x:v>
      </x:c>
      <x:c r="F91" s="3" t="str">
        <x:v>Web + API + Object Storage + Executor</x:v>
      </x:c>
      <x:c r="G91" s="3" t="str">
        <x:v>A/B 各有会话和 Workflow；准备确定 SHA-256 的文本、PNG、二进制文件及过期 Artifact。</x:v>
      </x:c>
      <x:c r="H91" s="3" t="str">
        <x:v>../secret、绝对路径、指向根外的 symlink</x:v>
      </x:c>
      <x:c r="I91" s="3" t="str">
        <x:v>1. 通过 @ 引用 API 构造非法路径
2. 提交并观察物化</x:v>
      </x:c>
      <x:c r="J91" s="3" t="str">
        <x:v>1. 路径规范化并拒绝越界/符号链接
2. 不读取宿主或其他 Workflow 文件</x:v>
      </x:c>
      <x:c r="K91" s="3" t="str">
        <x:v>S01;S02;S08</x:v>
      </x:c>
      <x:c r="L91" s="3" t="str">
        <x:v>实现路径存在，待执行验收</x:v>
      </x:c>
      <x:c r="M91" s="12" t="str">
        <x:v>未执行</x:v>
      </x:c>
      <x:c r="N91" s="12" t="str"/>
      <x:c r="O91" s="12" t="str"/>
      <x:c r="P91" s="12" t="str"/>
    </x:row>
    <x:row r="92" ht="42" customHeight="1">
      <x:c r="A92" s="3" t="str">
        <x:v>FIL-018</x:v>
      </x:c>
      <x:c r="B92" s="3" t="str">
        <x:v>附件与文件引用</x:v>
      </x:c>
      <x:c r="C92" s="3" t="str">
        <x:v>危险文件名拒绝</x:v>
      </x:c>
      <x:c r="D92" s="3" t="str">
        <x:v>P0</x:v>
      </x:c>
      <x:c r="E92" s="3" t="str">
        <x:v>安全</x:v>
      </x:c>
      <x:c r="F92" s="3" t="str">
        <x:v>Web + API + Object Storage + Executor</x:v>
      </x:c>
      <x:c r="G92" s="3" t="str">
        <x:v>A/B 各有会话和 Workflow；准备确定 SHA-256 的文本、PNG、二进制文件及过期 Artifact。</x:v>
      </x:c>
      <x:c r="H92" s="3" t="str">
        <x:v>../a、a\b、控制字符、空名、256 字符名</x:v>
      </x:c>
      <x:c r="I92" s="3" t="str">
        <x:v>1. 逐一上传
2. 查询附件记录</x:v>
      </x:c>
      <x:c r="J92" s="3" t="str">
        <x:v>1. 非法名称拒绝
2. 无路径注入、响应头注入或隐藏写入</x:v>
      </x:c>
      <x:c r="K92" s="3" t="str">
        <x:v>S01;S02;S08</x:v>
      </x:c>
      <x:c r="L92" s="3" t="str">
        <x:v>实现路径存在，待执行验收</x:v>
      </x:c>
      <x:c r="M92" s="12" t="str">
        <x:v>未执行</x:v>
      </x:c>
      <x:c r="N92" s="12" t="str"/>
      <x:c r="O92" s="12" t="str"/>
      <x:c r="P92" s="12" t="str"/>
    </x:row>
    <x:row r="93" ht="57" customHeight="1">
      <x:c r="A93" s="3" t="str">
        <x:v>FIL-019</x:v>
      </x:c>
      <x:c r="B93" s="3" t="str">
        <x:v>附件与文件引用</x:v>
      </x:c>
      <x:c r="C93" s="3" t="str">
        <x:v>下载后二次校验</x:v>
      </x:c>
      <x:c r="D93" s="3" t="str">
        <x:v>P0</x:v>
      </x:c>
      <x:c r="E93" s="3" t="str">
        <x:v>完整性</x:v>
      </x:c>
      <x:c r="F93" s="3" t="str">
        <x:v>Web + API + Object Storage + Executor</x:v>
      </x:c>
      <x:c r="G93" s="3" t="str">
        <x:v>A/B 各有会话和 Workflow；准备确定 SHA-256 的文本、PNG、二进制文件及过期 Artifact。</x:v>
      </x:c>
      <x:c r="H93" s="3" t="str">
        <x:v>对象存储返回错误大小或 SHA-256</x:v>
      </x:c>
      <x:c r="I93" s="3" t="str">
        <x:v>1. 接受合法附件
2. 在 fake Provider 中替换返回字节
3. 启动执行</x:v>
      </x:c>
      <x:c r="J93" s="3" t="str">
        <x:v>1. 执行前拒绝损坏副本
2. 无模型调用
3. 不会将错误文件交给 Runtime</x:v>
      </x:c>
      <x:c r="K93" s="3" t="str">
        <x:v>S01;S02;S08</x:v>
      </x:c>
      <x:c r="L93" s="3" t="str">
        <x:v>实现路径存在，待执行验收</x:v>
      </x:c>
      <x:c r="M93" s="12" t="str">
        <x:v>未执行</x:v>
      </x:c>
      <x:c r="N93" s="12" t="str">
        <x:v>部分步骤证据：E2E-020 通过。完整结果见“E2E执行”。未执行全部原用例步骤，不据此标记整条通过。</x:v>
      </x:c>
      <x:c r="O93" s="12" t="str"/>
      <x:c r="P93" s="12" t="str">
        <x:v>Codex / 2026-09-06 17:21 Asia/Shanghai</x:v>
      </x:c>
    </x:row>
    <x:row r="94" ht="57" customHeight="1">
      <x:c r="A94" s="3" t="str">
        <x:v>FIL-020</x:v>
      </x:c>
      <x:c r="B94" s="3" t="str">
        <x:v>附件与文件引用</x:v>
      </x:c>
      <x:c r="C94" s="3" t="str">
        <x:v>只读附件与保留目录隔离</x:v>
      </x:c>
      <x:c r="D94" s="3" t="str">
        <x:v>P0</x:v>
      </x:c>
      <x:c r="E94" s="3" t="str">
        <x:v>隔离</x:v>
      </x:c>
      <x:c r="F94" s="3" t="str">
        <x:v>Web + API + Object Storage + Executor</x:v>
      </x:c>
      <x:c r="G94" s="3" t="str">
        <x:v>A/B 各有会话和 Workflow；准备确定 SHA-256 的文本、PNG、二进制文件及过期 Artifact。</x:v>
      </x:c>
      <x:c r="H94" s="3" t="str">
        <x:v>附件目录 .agent-platform-attachments</x:v>
      </x:c>
      <x:c r="I94" s="3" t="str">
        <x:v>1. 执行中尝试修改附件
2. 在 Workspace 创建同名冲突目录
3. 验证合并</x:v>
      </x:c>
      <x:c r="J94" s="3" t="str">
        <x:v>1. 附件挂载只读
2. 保留目录冲突拒绝
3. 附件不进入持久 Workspace 或 Artifact</x:v>
      </x:c>
      <x:c r="K94" s="3" t="str">
        <x:v>S01;S02;S08</x:v>
      </x:c>
      <x:c r="L94" s="3" t="str">
        <x:v>实现路径存在，待执行验收</x:v>
      </x:c>
      <x:c r="M94" s="12" t="str">
        <x:v>未执行</x:v>
      </x:c>
      <x:c r="N94" s="12" t="str"/>
      <x:c r="O94" s="12" t="str"/>
      <x:c r="P94" s="12" t="str"/>
    </x:row>
    <x:row r="95" ht="57" customHeight="1">
      <x:c r="A95" s="3" t="str">
        <x:v>FIL-021</x:v>
      </x:c>
      <x:c r="B95" s="3" t="str">
        <x:v>附件与文件引用</x:v>
      </x:c>
      <x:c r="C95" s="3" t="str">
        <x:v>认证代理下载</x:v>
      </x:c>
      <x:c r="D95" s="3" t="str">
        <x:v>P0</x:v>
      </x:c>
      <x:c r="E95" s="3" t="str">
        <x:v>安全</x:v>
      </x:c>
      <x:c r="F95" s="3" t="str">
        <x:v>Web + API + Object Storage + Executor</x:v>
      </x:c>
      <x:c r="G95" s="3" t="str">
        <x:v>A/B 各有会话和 Workflow；准备确定 SHA-256 的文本、PNG、二进制文件及过期 Artifact。</x:v>
      </x:c>
      <x:c r="H95" s="3" t="str">
        <x:v>有效/过期登录态与附件 ID</x:v>
      </x:c>
      <x:c r="I95" s="3" t="str">
        <x:v>1. 登录下载
2. 退出后重新请求相同地址
3. 检查响应 URL</x:v>
      </x:c>
      <x:c r="J95" s="3" t="str">
        <x:v>1. 仅授权登录态得到文件
2. 浏览器不接收 Object Storage Endpoint 或签名参数</x:v>
      </x:c>
      <x:c r="K95" s="3" t="str">
        <x:v>S01;S02;S08</x:v>
      </x:c>
      <x:c r="L95" s="3" t="str">
        <x:v>实现路径存在，待执行验收</x:v>
      </x:c>
      <x:c r="M95" s="12" t="str">
        <x:v>未执行</x:v>
      </x:c>
      <x:c r="N95" s="12" t="str">
        <x:v>部分步骤证据：E2E-020 通过。完整结果见“E2E执行”。未执行全部原用例步骤，不据此标记整条通过。</x:v>
      </x:c>
      <x:c r="O95" s="12" t="str"/>
      <x:c r="P95" s="12" t="str">
        <x:v>Codex / 2026-09-06 17:21 Asia/Shanghai</x:v>
      </x:c>
    </x:row>
    <x:row r="96" ht="57" customHeight="1">
      <x:c r="A96" s="3" t="str">
        <x:v>WF-001</x:v>
      </x:c>
      <x:c r="B96" s="3" t="str">
        <x:v>Workflow 与运行对话</x:v>
      </x:c>
      <x:c r="C96" s="3" t="str">
        <x:v>创建最小 Workflow</x:v>
      </x:c>
      <x:c r="D96" s="3" t="str">
        <x:v>P0</x:v>
      </x:c>
      <x:c r="E96" s="3" t="str">
        <x:v>正向</x:v>
      </x:c>
      <x:c r="F96" s="3" t="str">
        <x:v>Web + API + DB + Worker</x:v>
      </x:c>
      <x:c r="G96" s="3" t="str">
        <x:v>A 已登录且执行配置有效；Workflow W1/W2 指向独立 Workspace。</x:v>
      </x:c>
      <x:c r="H96" s="3" t="str">
        <x:v>name=每日报告，goal=生成三条摘要；无专家</x:v>
      </x:c>
      <x:c r="I96" s="3" t="str">
        <x:v>1. 填写名称与目标创建
2. 打开详情
3. 查看默认配置</x:v>
      </x:c>
      <x:c r="J96" s="3" t="str">
        <x:v>1. 创建成功并拥有独立 Workspace
2. 不强制专家
3. 默认不生成 API 凭据</x:v>
      </x:c>
      <x:c r="K96" s="3" t="str">
        <x:v>S01;S04;S09</x:v>
      </x:c>
      <x:c r="L96" s="3" t="str">
        <x:v>实现路径存在，待执行验收</x:v>
      </x:c>
      <x:c r="M96" s="12" t="str">
        <x:v>未执行</x:v>
      </x:c>
      <x:c r="N96" s="12" t="str">
        <x:v>部分步骤证据：E2E-013 通过；E2E-035 通过。完整结果见“E2E执行”。未执行全部原用例步骤，不据此标记整条通过。</x:v>
      </x:c>
      <x:c r="O96" s="12" t="str"/>
      <x:c r="P96" s="12" t="str">
        <x:v>Codex / 2026-09-06 17:21 Asia/Shanghai</x:v>
      </x:c>
    </x:row>
    <x:row r="97" ht="42" customHeight="1">
      <x:c r="A97" s="3" t="str">
        <x:v>WF-002</x:v>
      </x:c>
      <x:c r="B97" s="3" t="str">
        <x:v>Workflow 与运行对话</x:v>
      </x:c>
      <x:c r="C97" s="3" t="str">
        <x:v>名称目标必填</x:v>
      </x:c>
      <x:c r="D97" s="3" t="str">
        <x:v>P1</x:v>
      </x:c>
      <x:c r="E97" s="3" t="str">
        <x:v>边界</x:v>
      </x:c>
      <x:c r="F97" s="3" t="str">
        <x:v>Web + API + DB + Worker</x:v>
      </x:c>
      <x:c r="G97" s="3" t="str">
        <x:v>A 已登录且执行配置有效；Workflow W1/W2 指向独立 Workspace。</x:v>
      </x:c>
      <x:c r="H97" s="3" t="str">
        <x:v>名称为空、目标为空、全空白</x:v>
      </x:c>
      <x:c r="I97" s="3" t="str">
        <x:v>1. 分别提交创建和编辑
2. 查看列表</x:v>
      </x:c>
      <x:c r="J97" s="3" t="str">
        <x:v>1. 无效配置拒绝
2. 不留下不可执行的空定义</x:v>
      </x:c>
      <x:c r="K97" s="3" t="str">
        <x:v>S01;S04;S09</x:v>
      </x:c>
      <x:c r="L97" s="3" t="str">
        <x:v>实现路径存在，待执行验收</x:v>
      </x:c>
      <x:c r="M97" s="12" t="str">
        <x:v>未执行</x:v>
      </x:c>
      <x:c r="N97" s="12" t="str"/>
      <x:c r="O97" s="12" t="str"/>
      <x:c r="P97" s="12" t="str"/>
    </x:row>
    <x:row r="98" ht="57" customHeight="1">
      <x:c r="A98" s="3" t="str">
        <x:v>WF-003</x:v>
      </x:c>
      <x:c r="B98" s="3" t="str">
        <x:v>Workflow 与运行对话</x:v>
      </x:c>
      <x:c r="C98" s="3" t="str">
        <x:v>编辑 Workflow 与版本冲突</x:v>
      </x:c>
      <x:c r="D98" s="3" t="str">
        <x:v>P1</x:v>
      </x:c>
      <x:c r="E98" s="3" t="str">
        <x:v>并发</x:v>
      </x:c>
      <x:c r="F98" s="3" t="str">
        <x:v>Web + API + DB + Worker</x:v>
      </x:c>
      <x:c r="G98" s="3" t="str">
        <x:v>A 已登录且执行配置有效；Workflow W1/W2 指向独立 Workspace。</x:v>
      </x:c>
      <x:c r="H98" s="3" t="str">
        <x:v>两个页面持有相同 expected_version</x:v>
      </x:c>
      <x:c r="I98" s="3" t="str">
        <x:v>1. 页面一改目标保存
2. 页面二保存旧版本
3. 刷新详情</x:v>
      </x:c>
      <x:c r="J98" s="3" t="str">
        <x:v>1. 第一次生效
2. 旧版本返回 412/version_conflict
3. 不覆盖已保存变更</x:v>
      </x:c>
      <x:c r="K98" s="3" t="str">
        <x:v>S01;S04;S09</x:v>
      </x:c>
      <x:c r="L98" s="3" t="str">
        <x:v>实现路径存在，待执行验收</x:v>
      </x:c>
      <x:c r="M98" s="12" t="str">
        <x:v>未执行</x:v>
      </x:c>
      <x:c r="N98" s="12" t="str">
        <x:v>部分步骤证据：E2E-013 通过。完整结果见“E2E执行”。未执行全部原用例步骤，不据此标记整条通过。</x:v>
      </x:c>
      <x:c r="O98" s="12" t="str"/>
      <x:c r="P98" s="12" t="str">
        <x:v>Codex / 2026-09-06 17:21 Asia/Shanghai</x:v>
      </x:c>
    </x:row>
    <x:row r="99" ht="57" customHeight="1">
      <x:c r="A99" s="3" t="str">
        <x:v>WF-004</x:v>
      </x:c>
      <x:c r="B99" s="3" t="str">
        <x:v>Workflow 与运行对话</x:v>
      </x:c>
      <x:c r="C99" s="3" t="str">
        <x:v>无专家卡片不留空标签</x:v>
      </x:c>
      <x:c r="D99" s="3" t="str">
        <x:v>P2</x:v>
      </x:c>
      <x:c r="E99" s="3" t="str">
        <x:v>交互</x:v>
      </x:c>
      <x:c r="F99" s="3" t="str">
        <x:v>Web + API + DB + Worker</x:v>
      </x:c>
      <x:c r="G99" s="3" t="str">
        <x:v>A 已登录且执行配置有效；Workflow W1/W2 指向独立 Workspace。</x:v>
      </x:c>
      <x:c r="H99" s="3" t="str">
        <x:v>无专家、单专家、团队三类 Workflow</x:v>
      </x:c>
      <x:c r="I99" s="3" t="str">
        <x:v>1. 查看列表卡片
2. 检查专家标签和留白</x:v>
      </x:c>
      <x:c r="J99" s="3" t="str">
        <x:v>1. 有专家显示名称
2. 无专家不显示空容器
3. 卡片布局一致</x:v>
      </x:c>
      <x:c r="K99" s="3" t="str">
        <x:v>S01;S04;S09</x:v>
      </x:c>
      <x:c r="L99" s="3" t="str">
        <x:v>实现路径存在，待执行验收</x:v>
      </x:c>
      <x:c r="M99" s="12" t="str">
        <x:v>未执行</x:v>
      </x:c>
      <x:c r="N99" s="12" t="str"/>
      <x:c r="O99" s="12" t="str"/>
      <x:c r="P99" s="12" t="str"/>
    </x:row>
    <x:row r="100" ht="57" customHeight="1">
      <x:c r="A100" s="3" t="str">
        <x:v>WF-005</x:v>
      </x:c>
      <x:c r="B100" s="3" t="str">
        <x:v>Workflow 与运行对话</x:v>
      </x:c>
      <x:c r="C100" s="3" t="str">
        <x:v>手动运行直接使用固定目标</x:v>
      </x:c>
      <x:c r="D100" s="3" t="str">
        <x:v>P0</x:v>
      </x:c>
      <x:c r="E100" s="3" t="str">
        <x:v>正向</x:v>
      </x:c>
      <x:c r="F100" s="3" t="str">
        <x:v>Web + API + DB + Worker</x:v>
      </x:c>
      <x:c r="G100" s="3" t="str">
        <x:v>A 已登录且执行配置有效；Workflow W1/W2 指向独立 Workspace。</x:v>
      </x:c>
      <x:c r="H100" s="3" t="str">
        <x:v>Workflow goal 已设置</x:v>
      </x:c>
      <x:c r="I100" s="3" t="str">
        <x:v>1. 点击详情运行
2. 观察导航与第一条消息
3. 查看触发类型</x:v>
      </x:c>
      <x:c r="J100" s="3" t="str">
        <x:v>1. 无需独立输入类型或输入框
2. 立即进入新 Run Conversation
3. 固定目标作为首条输入</x:v>
      </x:c>
      <x:c r="K100" s="3" t="str">
        <x:v>S01;S04;S09</x:v>
      </x:c>
      <x:c r="L100" s="3" t="str">
        <x:v>实现路径存在，待执行验收</x:v>
      </x:c>
      <x:c r="M100" s="12" t="str">
        <x:v>未执行</x:v>
      </x:c>
      <x:c r="N100" s="12" t="str"/>
      <x:c r="O100" s="12" t="str"/>
      <x:c r="P100" s="12" t="str"/>
    </x:row>
    <x:row r="101" ht="57" customHeight="1">
      <x:c r="A101" s="3" t="str">
        <x:v>WF-006</x:v>
      </x:c>
      <x:c r="B101" s="3" t="str">
        <x:v>Workflow 与运行对话</x:v>
      </x:c>
      <x:c r="C101" s="3" t="str">
        <x:v>首次运行冻结 Workflow Snapshot</x:v>
      </x:c>
      <x:c r="D101" s="3" t="str">
        <x:v>P0</x:v>
      </x:c>
      <x:c r="E101" s="3" t="str">
        <x:v>快照</x:v>
      </x:c>
      <x:c r="F101" s="3" t="str">
        <x:v>Web + API + DB + Worker</x:v>
      </x:c>
      <x:c r="G101" s="3" t="str">
        <x:v>A 已登录且执行配置有效；Workflow W1/W2 指向独立 Workspace。</x:v>
      </x:c>
      <x:c r="H101" s="3" t="str">
        <x:v>目标 G1、环境 V1、个人默认 R1/M1</x:v>
      </x:c>
      <x:c r="I101" s="3" t="str">
        <x:v>1. 运行后排队
2. 编辑 Workflow 为 G2/V2并修改个人设置
3. 查看排队执行</x:v>
      </x:c>
      <x:c r="J101" s="3" t="str">
        <x:v>1. 本 Run 使用 G1/V1/R1/M1 快照
2. 后续新 conversation 才用更新配置</x:v>
      </x:c>
      <x:c r="K101" s="3" t="str">
        <x:v>S01;S04;S09</x:v>
      </x:c>
      <x:c r="L101" s="3" t="str">
        <x:v>实现路径存在，待执行验收</x:v>
      </x:c>
      <x:c r="M101" s="12" t="str">
        <x:v>未执行</x:v>
      </x:c>
      <x:c r="N101" s="12" t="str"/>
      <x:c r="O101" s="12" t="str"/>
      <x:c r="P101" s="12" t="str"/>
    </x:row>
    <x:row r="102" ht="57" customHeight="1">
      <x:c r="A102" s="3" t="str">
        <x:v>WF-007</x:v>
      </x:c>
      <x:c r="B102" s="3" t="str">
        <x:v>Workflow 与运行对话</x:v>
      </x:c>
      <x:c r="C102" s="3" t="str">
        <x:v>同 Workflow 串行执行</x:v>
      </x:c>
      <x:c r="D102" s="3" t="str">
        <x:v>P0</x:v>
      </x:c>
      <x:c r="E102" s="3" t="str">
        <x:v>并发</x:v>
      </x:c>
      <x:c r="F102" s="3" t="str">
        <x:v>Web + API + DB + Worker</x:v>
      </x:c>
      <x:c r="G102" s="3" t="str">
        <x:v>A 已登录且执行配置有效；Workflow W1/W2 指向独立 Workspace。</x:v>
      </x:c>
      <x:c r="H102" s="3" t="str">
        <x:v>W1 有长任务</x:v>
      </x:c>
      <x:c r="I102" s="3" t="str">
        <x:v>1. 连续提交 W1 两个 Run
2. 记录开始结束时间和 Workspace 修改</x:v>
      </x:c>
      <x:c r="J102" s="3" t="str">
        <x:v>1. 同 Workflow 仅一轮执行持久 Workspace
2. 第二轮 queued
3. 不发生并发覆盖</x:v>
      </x:c>
      <x:c r="K102" s="3" t="str">
        <x:v>S01;S04;S09</x:v>
      </x:c>
      <x:c r="L102" s="3" t="str">
        <x:v>实现路径存在，待执行验收</x:v>
      </x:c>
      <x:c r="M102" s="12" t="str">
        <x:v>未执行</x:v>
      </x:c>
      <x:c r="N102" s="12" t="str">
        <x:v>部分步骤证据：E2E-032 阻塞。完整结果见“E2E执行”。未执行全部原用例步骤，不据此标记整条通过。</x:v>
      </x:c>
      <x:c r="O102" s="12" t="str"/>
      <x:c r="P102" s="12" t="str">
        <x:v>Codex / 2026-09-06 17:21 Asia/Shanghai</x:v>
      </x:c>
    </x:row>
    <x:row r="103" ht="42" customHeight="1">
      <x:c r="A103" s="3" t="str">
        <x:v>WF-008</x:v>
      </x:c>
      <x:c r="B103" s="3" t="str">
        <x:v>Workflow 与运行对话</x:v>
      </x:c>
      <x:c r="C103" s="3" t="str">
        <x:v>不同 Workflow 所有者积分串行</x:v>
      </x:c>
      <x:c r="D103" s="3" t="str">
        <x:v>P0</x:v>
      </x:c>
      <x:c r="E103" s="3" t="str">
        <x:v>并发</x:v>
      </x:c>
      <x:c r="F103" s="3" t="str">
        <x:v>Web + API + DB + Worker</x:v>
      </x:c>
      <x:c r="G103" s="3" t="str">
        <x:v>A 已登录且执行配置有效；Workflow W1/W2 指向独立 Workspace。</x:v>
      </x:c>
      <x:c r="H103" s="3" t="str">
        <x:v>同用户 W1/W2 同时就绪</x:v>
      </x:c>
      <x:c r="I103" s="3" t="str">
        <x:v>1. 并发运行 W1/W2
2. 检查模型开始时间与余额重检</x:v>
      </x:c>
      <x:c r="J103" s="3" t="str">
        <x:v>1. 仍遵守 User 级模型调用串行
2. 第二个调用开始前重新校验余额</x:v>
      </x:c>
      <x:c r="K103" s="3" t="str">
        <x:v>S01;S04;S09</x:v>
      </x:c>
      <x:c r="L103" s="3" t="str">
        <x:v>实现路径存在，待执行验收</x:v>
      </x:c>
      <x:c r="M103" s="12" t="str">
        <x:v>未执行</x:v>
      </x:c>
      <x:c r="N103" s="12" t="str"/>
      <x:c r="O103" s="12" t="str"/>
      <x:c r="P103" s="12" t="str"/>
    </x:row>
    <x:row r="104" ht="57" customHeight="1">
      <x:c r="A104" s="3" t="str">
        <x:v>WF-009</x:v>
      </x:c>
      <x:c r="B104" s="3" t="str">
        <x:v>Workflow 与运行对话</x:v>
      </x:c>
      <x:c r="C104" s="3" t="str">
        <x:v>正常运行结果与历史</x:v>
      </x:c>
      <x:c r="D104" s="3" t="str">
        <x:v>P0</x:v>
      </x:c>
      <x:c r="E104" s="3" t="str">
        <x:v>正向</x:v>
      </x:c>
      <x:c r="F104" s="3" t="str">
        <x:v>Web + API + DB + Worker</x:v>
      </x:c>
      <x:c r="G104" s="3" t="str">
        <x:v>A 已登录且执行配置有效；Workflow W1/W2 指向独立 Workspace。</x:v>
      </x:c>
      <x:c r="H104" s="3" t="str">
        <x:v>Runtime 返回 final text 和文件</x:v>
      </x:c>
      <x:c r="I104" s="3" t="str">
        <x:v>1. 手动运行至成功
2. 返回历史
3. 再打开该行</x:v>
      </x:c>
      <x:c r="J104" s="3" t="str">
        <x:v>1. 状态 succeeded、触发 manual、耗时正确
2. 结果与 Artifact 归属于对应轮次</x:v>
      </x:c>
      <x:c r="K104" s="3" t="str">
        <x:v>S01;S04;S09</x:v>
      </x:c>
      <x:c r="L104" s="3" t="str">
        <x:v>实现路径存在，待执行验收</x:v>
      </x:c>
      <x:c r="M104" s="12" t="str">
        <x:v>未执行</x:v>
      </x:c>
      <x:c r="N104" s="12" t="str"/>
      <x:c r="O104" s="12" t="str"/>
      <x:c r="P104" s="12" t="str"/>
    </x:row>
    <x:row r="105" ht="57" customHeight="1">
      <x:c r="A105" s="3" t="str">
        <x:v>WF-010</x:v>
      </x:c>
      <x:c r="B105" s="3" t="str">
        <x:v>Workflow 与运行对话</x:v>
      </x:c>
      <x:c r="C105" s="3" t="str">
        <x:v>追问生成新的不可变 Run</x:v>
      </x:c>
      <x:c r="D105" s="3" t="str">
        <x:v>P0</x:v>
      </x:c>
      <x:c r="E105" s="3" t="str">
        <x:v>连续性</x:v>
      </x:c>
      <x:c r="F105" s="3" t="str">
        <x:v>Web + API + DB + Worker</x:v>
      </x:c>
      <x:c r="G105" s="3" t="str">
        <x:v>A 已登录且执行配置有效；Workflow W1/W2 指向独立 Workspace。</x:v>
      </x:c>
      <x:c r="H105" s="3" t="str">
        <x:v>已有成功 Run Conversation</x:v>
      </x:c>
      <x:c r="I105" s="3" t="str">
        <x:v>1. 发送一次追问
2. 对比原 Run 与新 Run ID
3. 刷新全部轮次</x:v>
      </x:c>
      <x:c r="J105" s="3" t="str">
        <x:v>1. 创建新 Run 而不重开旧终态
2. 继承原目标、环境和执行配置
3. 上下文包含历史</x:v>
      </x:c>
      <x:c r="K105" s="3" t="str">
        <x:v>S01;S04;S09</x:v>
      </x:c>
      <x:c r="L105" s="3" t="str">
        <x:v>实现路径存在，待执行验收</x:v>
      </x:c>
      <x:c r="M105" s="12" t="str">
        <x:v>未执行</x:v>
      </x:c>
      <x:c r="N105" s="12" t="str"/>
      <x:c r="O105" s="12" t="str"/>
      <x:c r="P105" s="12" t="str"/>
    </x:row>
    <x:row r="106" ht="42" customHeight="1">
      <x:c r="A106" s="3" t="str">
        <x:v>WF-011</x:v>
      </x:c>
      <x:c r="B106" s="3" t="str">
        <x:v>Workflow 与运行对话</x:v>
      </x:c>
      <x:c r="C106" s="3" t="str">
        <x:v>历史行按最新轮次更新</x:v>
      </x:c>
      <x:c r="D106" s="3" t="str">
        <x:v>P1</x:v>
      </x:c>
      <x:c r="E106" s="3" t="str">
        <x:v>投影</x:v>
      </x:c>
      <x:c r="F106" s="3" t="str">
        <x:v>Web + API + DB + Worker</x:v>
      </x:c>
      <x:c r="G106" s="3" t="str">
        <x:v>A 已登录且执行配置有效；Workflow W1/W2 指向独立 Workspace。</x:v>
      </x:c>
      <x:c r="H106" s="3" t="str">
        <x:v>两个 Run Conversation，其中旧对话有新追问</x:v>
      </x:c>
      <x:c r="I106" s="3" t="str">
        <x:v>1. 在旧对话追问
2. 返回历史列表</x:v>
      </x:c>
      <x:c r="J106" s="3" t="str">
        <x:v>1. 以最新轮次时间、状态、耗时投影和排序
2. 行稳定身份仍是首个 Run ID</x:v>
      </x:c>
      <x:c r="K106" s="3" t="str">
        <x:v>S01;S04;S09</x:v>
      </x:c>
      <x:c r="L106" s="3" t="str">
        <x:v>实现路径存在，待执行验收</x:v>
      </x:c>
      <x:c r="M106" s="12" t="str">
        <x:v>未执行</x:v>
      </x:c>
      <x:c r="N106" s="12" t="str"/>
      <x:c r="O106" s="12" t="str"/>
      <x:c r="P106" s="12" t="str"/>
    </x:row>
    <x:row r="107" ht="57" customHeight="1">
      <x:c r="A107" s="3" t="str">
        <x:v>WF-012</x:v>
      </x:c>
      <x:c r="B107" s="3" t="str">
        <x:v>Workflow 与运行对话</x:v>
      </x:c>
      <x:c r="C107" s="3" t="str">
        <x:v>历史详情完整页面</x:v>
      </x:c>
      <x:c r="D107" s="3" t="str">
        <x:v>P1</x:v>
      </x:c>
      <x:c r="E107" s="3" t="str">
        <x:v>交互</x:v>
      </x:c>
      <x:c r="F107" s="3" t="str">
        <x:v>Web + API + DB + Worker</x:v>
      </x:c>
      <x:c r="G107" s="3" t="str">
        <x:v>A 已登录且执行配置有效；Workflow W1/W2 指向独立 Workspace。</x:v>
      </x:c>
      <x:c r="H107" s="3" t="str">
        <x:v>含 API 初始 JSON 与多条追问</x:v>
      </x:c>
      <x:c r="I107" s="3" t="str">
        <x:v>1. 打开历史行
2. 查看首条目标、初始 JSON 和后续问答</x:v>
      </x:c>
      <x:c r="J107" s="3" t="str">
        <x:v>1. 使用完整会话页面而不是模态框
2. 轮次顺序正确
3. 不展示原始 Snapshot 或运维事件主界面</x:v>
      </x:c>
      <x:c r="K107" s="3" t="str">
        <x:v>S01;S04;S09</x:v>
      </x:c>
      <x:c r="L107" s="3" t="str">
        <x:v>实现路径存在，待执行验收</x:v>
      </x:c>
      <x:c r="M107" s="12" t="str">
        <x:v>未执行</x:v>
      </x:c>
      <x:c r="N107" s="12" t="str"/>
      <x:c r="O107" s="12" t="str"/>
      <x:c r="P107" s="12" t="str"/>
    </x:row>
    <x:row r="108" ht="57" customHeight="1">
      <x:c r="A108" s="3" t="str">
        <x:v>WF-013</x:v>
      </x:c>
      <x:c r="B108" s="3" t="str">
        <x:v>Workflow 与运行对话</x:v>
      </x:c>
      <x:c r="C108" s="3" t="str">
        <x:v>取消排队与运行中任务</x:v>
      </x:c>
      <x:c r="D108" s="3" t="str">
        <x:v>P0</x:v>
      </x:c>
      <x:c r="E108" s="3" t="str">
        <x:v>状态</x:v>
      </x:c>
      <x:c r="F108" s="3" t="str">
        <x:v>Web + API + DB + Worker</x:v>
      </x:c>
      <x:c r="G108" s="3" t="str">
        <x:v>A 已登录且执行配置有效；Workflow W1/W2 指向独立 Workspace。</x:v>
      </x:c>
      <x:c r="H108" s="3" t="str">
        <x:v>一个 queued、一个 running 的测试 Run</x:v>
      </x:c>
      <x:c r="I108" s="3" t="str">
        <x:v>1. 分别发送取消
2. 等待终态
3. 检查 Workspace</x:v>
      </x:c>
      <x:c r="J108" s="3" t="str">
        <x:v>1. 取消后不再执行或继续写入
2. 显示 cancelled
3. 临时变更不合并</x:v>
      </x:c>
      <x:c r="K108" s="3" t="str">
        <x:v>S01;S04;S09</x:v>
      </x:c>
      <x:c r="L108" s="3" t="str">
        <x:v>实现路径存在，待执行验收</x:v>
      </x:c>
      <x:c r="M108" s="12" t="str">
        <x:v>未执行</x:v>
      </x:c>
      <x:c r="N108" s="12" t="str"/>
      <x:c r="O108" s="12" t="str"/>
      <x:c r="P108" s="12" t="str"/>
    </x:row>
    <x:row r="109" ht="57" customHeight="1">
      <x:c r="A109" s="3" t="str">
        <x:v>WF-014</x:v>
      </x:c>
      <x:c r="B109" s="3" t="str">
        <x:v>Workflow 与运行对话</x:v>
      </x:c>
      <x:c r="C109" s="3" t="str">
        <x:v>失败 Run 重跑</x:v>
      </x:c>
      <x:c r="D109" s="3" t="str">
        <x:v>P0</x:v>
      </x:c>
      <x:c r="E109" s="3" t="str">
        <x:v>快照</x:v>
      </x:c>
      <x:c r="F109" s="3" t="str">
        <x:v>Web + API + DB + Worker</x:v>
      </x:c>
      <x:c r="G109" s="3" t="str">
        <x:v>A 已登录且执行配置有效；Workflow W1/W2 指向独立 Workspace。</x:v>
      </x:c>
      <x:c r="H109" s="3" t="str">
        <x:v>原 Run 失败；Workflow 和资源已被编辑</x:v>
      </x:c>
      <x:c r="I109" s="3" t="str">
        <x:v>1. 点击失败 Run 重跑
2. 比较新执行与历史配置</x:v>
      </x:c>
      <x:c r="J109" s="3" t="str">
        <x:v>1. 使用原始输入和历史快照
2. 保留旧失败记录
3. 新执行独立收费</x:v>
      </x:c>
      <x:c r="K109" s="3" t="str">
        <x:v>S01;S04;S09</x:v>
      </x:c>
      <x:c r="L109" s="3" t="str">
        <x:v>实现路径存在，待执行验收</x:v>
      </x:c>
      <x:c r="M109" s="12" t="str">
        <x:v>未执行</x:v>
      </x:c>
      <x:c r="N109" s="12" t="str"/>
      <x:c r="O109" s="12" t="str"/>
      <x:c r="P109" s="12" t="str"/>
    </x:row>
    <x:row r="110" ht="57" customHeight="1">
      <x:c r="A110" s="3" t="str">
        <x:v>WF-015</x:v>
      </x:c>
      <x:c r="B110" s="3" t="str">
        <x:v>Workflow 与运行对话</x:v>
      </x:c>
      <x:c r="C110" s="3" t="str">
        <x:v>不可用依赖阻止手动启动</x:v>
      </x:c>
      <x:c r="D110" s="3" t="str">
        <x:v>P0</x:v>
      </x:c>
      <x:c r="E110" s="3" t="str">
        <x:v>异常</x:v>
      </x:c>
      <x:c r="F110" s="3" t="str">
        <x:v>Web + API + DB + Worker</x:v>
      </x:c>
      <x:c r="G110" s="3" t="str">
        <x:v>A 已登录且执行配置有效；Workflow W1/W2 指向独立 Workspace。</x:v>
      </x:c>
      <x:c r="H110" s="3" t="str">
        <x:v>专家不完整、资源不可用、Runtime 不可用各一组</x:v>
      </x:c>
      <x:c r="I110" s="3" t="str">
        <x:v>1. 逐组点击手动运行
2. 查询历史与调用记录</x:v>
      </x:c>
      <x:c r="J110" s="3" t="str">
        <x:v>1. 执行前明确拒绝
2. 不新建已接受的运行
3. 不调用模型或扣积分</x:v>
      </x:c>
      <x:c r="K110" s="3" t="str">
        <x:v>S01;S04;S09</x:v>
      </x:c>
      <x:c r="L110" s="3" t="str">
        <x:v>实现路径存在，待执行验收</x:v>
      </x:c>
      <x:c r="M110" s="12" t="str">
        <x:v>未执行</x:v>
      </x:c>
      <x:c r="N110" s="12" t="str"/>
      <x:c r="O110" s="12" t="str"/>
      <x:c r="P110" s="12" t="str"/>
    </x:row>
    <x:row r="111" ht="57" customHeight="1">
      <x:c r="A111" s="3" t="str">
        <x:v>WF-016</x:v>
      </x:c>
      <x:c r="B111" s="3" t="str">
        <x:v>Workflow 与运行对话</x:v>
      </x:c>
      <x:c r="C111" s="3" t="str">
        <x:v>排队后依赖失效</x:v>
      </x:c>
      <x:c r="D111" s="3" t="str">
        <x:v>P0</x:v>
      </x:c>
      <x:c r="E111" s="3" t="str">
        <x:v>异常</x:v>
      </x:c>
      <x:c r="F111" s="3" t="str">
        <x:v>Web + API + DB + Worker</x:v>
      </x:c>
      <x:c r="G111" s="3" t="str">
        <x:v>A 已登录且执行配置有效；Workflow W1/W2 指向独立 Workspace。</x:v>
      </x:c>
      <x:c r="H111" s="3" t="str">
        <x:v>Run 已排队；停用其第一 Stage 依赖</x:v>
      </x:c>
      <x:c r="I111" s="3" t="str">
        <x:v>1. 等待 Worker 出队
2. 查看错误和 Credit Ledger</x:v>
      </x:c>
      <x:c r="J111" s="3" t="str">
        <x:v>1. 调用前重验失败
2. 记录明确失败原因
3. 模型未调用则不收费</x:v>
      </x:c>
      <x:c r="K111" s="3" t="str">
        <x:v>S01;S04;S09</x:v>
      </x:c>
      <x:c r="L111" s="3" t="str">
        <x:v>实现路径存在，待执行验收</x:v>
      </x:c>
      <x:c r="M111" s="12" t="str">
        <x:v>未执行</x:v>
      </x:c>
      <x:c r="N111" s="12" t="str"/>
      <x:c r="O111" s="12" t="str"/>
      <x:c r="P111" s="12" t="str"/>
    </x:row>
    <x:row r="112" ht="57" customHeight="1">
      <x:c r="A112" s="3" t="str">
        <x:v>WF-017</x:v>
      </x:c>
      <x:c r="B112" s="3" t="str">
        <x:v>Workflow 与运行对话</x:v>
      </x:c>
      <x:c r="C112" s="3" t="str">
        <x:v>普通与 Secret 环境变量</x:v>
      </x:c>
      <x:c r="D112" s="3" t="str">
        <x:v>P0</x:v>
      </x:c>
      <x:c r="E112" s="3" t="str">
        <x:v>安全</x:v>
      </x:c>
      <x:c r="F112" s="3" t="str">
        <x:v>Web + API + DB + Worker</x:v>
      </x:c>
      <x:c r="G112" s="3" t="str">
        <x:v>A 已登录且执行配置有效；Workflow W1/W2 指向独立 Workspace。</x:v>
      </x:c>
      <x:c r="H112" s="3" t="str">
        <x:v>REPORT_MODE=brief；QA_SECRET_CANARY=测试专用值</x:v>
      </x:c>
      <x:c r="I112" s="3" t="str">
        <x:v>1. 保存环境
2. 重开编辑页
3. 执行读取两变量并输出 Secret</x:v>
      </x:c>
      <x:c r="J112" s="3" t="str">
        <x:v>1. 普通值可回显
2. Secret 只显示配置状态
3. 输出在持久化前脱敏</x:v>
      </x:c>
      <x:c r="K112" s="3" t="str">
        <x:v>S01;S04;S09</x:v>
      </x:c>
      <x:c r="L112" s="3" t="str">
        <x:v>实现路径存在，待执行验收</x:v>
      </x:c>
      <x:c r="M112" s="12" t="str">
        <x:v>未执行</x:v>
      </x:c>
      <x:c r="N112" s="12" t="str">
        <x:v>部分步骤证据：E2E-015 通过。完整结果见“E2E执行”。未执行全部原用例步骤，不据此标记整条通过。</x:v>
      </x:c>
      <x:c r="O112" s="12" t="str"/>
      <x:c r="P112" s="12" t="str">
        <x:v>Codex / 2026-09-06 17:21 Asia/Shanghai</x:v>
      </x:c>
    </x:row>
    <x:row r="113" ht="57" customHeight="1">
      <x:c r="A113" s="3" t="str">
        <x:v>WF-018</x:v>
      </x:c>
      <x:c r="B113" s="3" t="str">
        <x:v>Workflow 与运行对话</x:v>
      </x:c>
      <x:c r="C113" s="3" t="str">
        <x:v>环境变量替换与删除</x:v>
      </x:c>
      <x:c r="D113" s="3" t="str">
        <x:v>P1</x:v>
      </x:c>
      <x:c r="E113" s="3" t="str">
        <x:v>生命周期</x:v>
      </x:c>
      <x:c r="F113" s="3" t="str">
        <x:v>Web + API + DB + Worker</x:v>
      </x:c>
      <x:c r="G113" s="3" t="str">
        <x:v>A 已登录且执行配置有效；Workflow W1/W2 指向独立 Workspace。</x:v>
      </x:c>
      <x:c r="H113" s="3" t="str">
        <x:v>已经保存 Secret V1</x:v>
      </x:c>
      <x:c r="I113" s="3" t="str">
        <x:v>1. 替换为 V2
2. 新开 Run
3. 删除变量后再运行</x:v>
      </x:c>
      <x:c r="J113" s="3" t="str">
        <x:v>1. 新轮次按冻结版本取值
2. 删除后不再注入
3. 旧值不在普通快照和 API 回显</x:v>
      </x:c>
      <x:c r="K113" s="3" t="str">
        <x:v>S01;S04;S09</x:v>
      </x:c>
      <x:c r="L113" s="3" t="str">
        <x:v>实现路径存在，待执行验收</x:v>
      </x:c>
      <x:c r="M113" s="12" t="str">
        <x:v>未执行</x:v>
      </x:c>
      <x:c r="N113" s="12" t="str"/>
      <x:c r="O113" s="12" t="str"/>
      <x:c r="P113" s="12" t="str"/>
    </x:row>
    <x:row r="114" ht="57" customHeight="1">
      <x:c r="A114" s="3" t="str">
        <x:v>WF-019</x:v>
      </x:c>
      <x:c r="B114" s="3" t="str">
        <x:v>Workflow 与运行对话</x:v>
      </x:c>
      <x:c r="C114" s="3" t="str">
        <x:v>禁止覆盖 Runtime 控制变量</x:v>
      </x:c>
      <x:c r="D114" s="3" t="str">
        <x:v>P0</x:v>
      </x:c>
      <x:c r="E114" s="3" t="str">
        <x:v>安全</x:v>
      </x:c>
      <x:c r="F114" s="3" t="str">
        <x:v>Web + API + DB + Worker</x:v>
      </x:c>
      <x:c r="G114" s="3" t="str">
        <x:v>A 已登录且执行配置有效；Workflow W1/W2 指向独立 Workspace。</x:v>
      </x:c>
      <x:c r="H114" s="3" t="str">
        <x:v>PATH、CODEX_HOME、LD_PRELOAD、GIT_SSH_COMMAND</x:v>
      </x:c>
      <x:c r="I114" s="3" t="str">
        <x:v>1. 逐项提交环境配置
2. 再提交普通变量</x:v>
      </x:c>
      <x:c r="J114" s="3" t="str">
        <x:v>1. 受控变量拒绝
2. 普通业务变量允许
3. 用户输入不能改变执行器控制路径</x:v>
      </x:c>
      <x:c r="K114" s="3" t="str">
        <x:v>S01;S04;S09</x:v>
      </x:c>
      <x:c r="L114" s="3" t="str">
        <x:v>实现路径存在，待执行验收</x:v>
      </x:c>
      <x:c r="M114" s="12" t="str">
        <x:v>未执行</x:v>
      </x:c>
      <x:c r="N114" s="12" t="str"/>
      <x:c r="O114" s="12" t="str"/>
      <x:c r="P114" s="12" t="str"/>
    </x:row>
    <x:row r="115" ht="57" customHeight="1">
      <x:c r="A115" s="3" t="str">
        <x:v>WF-020</x:v>
      </x:c>
      <x:c r="B115" s="3" t="str">
        <x:v>Workflow 与运行对话</x:v>
      </x:c>
      <x:c r="C115" s="3" t="str">
        <x:v>删除 Workflow 确认</x:v>
      </x:c>
      <x:c r="D115" s="3" t="str">
        <x:v>P1</x:v>
      </x:c>
      <x:c r="E115" s="3" t="str">
        <x:v>交互</x:v>
      </x:c>
      <x:c r="F115" s="3" t="str">
        <x:v>Web + API + DB + Worker</x:v>
      </x:c>
      <x:c r="G115" s="3" t="str">
        <x:v>A 已登录且执行配置有效；Workflow W1/W2 指向独立 Workspace。</x:v>
      </x:c>
      <x:c r="H115" s="3" t="str">
        <x:v>有历史和 Workspace 的 Workflow</x:v>
      </x:c>
      <x:c r="I115" s="3" t="str">
        <x:v>1. 打开删除确认框
2. 取消
3. 再确认删除</x:v>
      </x:c>
      <x:c r="J115" s="3" t="str">
        <x:v>1. 取消无影响
2. 确认后配置和执行入口被永久移除</x:v>
      </x:c>
      <x:c r="K115" s="3" t="str">
        <x:v>S01;S04;S09</x:v>
      </x:c>
      <x:c r="L115" s="3" t="str">
        <x:v>实现路径存在，待执行验收</x:v>
      </x:c>
      <x:c r="M115" s="12" t="str">
        <x:v>未执行</x:v>
      </x:c>
      <x:c r="N115" s="12" t="str">
        <x:v>部分步骤证据：E2E-013 通过。完整结果见“E2E执行”。未执行全部原用例步骤，不据此标记整条通过。</x:v>
      </x:c>
      <x:c r="O115" s="12" t="str"/>
      <x:c r="P115" s="12" t="str">
        <x:v>Codex / 2026-09-06 17:21 Asia/Shanghai</x:v>
      </x:c>
    </x:row>
    <x:row r="116" ht="57" customHeight="1">
      <x:c r="A116" s="3" t="str">
        <x:v>WF-021</x:v>
      </x:c>
      <x:c r="B116" s="3" t="str">
        <x:v>Workflow 与运行对话</x:v>
      </x:c>
      <x:c r="C116" s="3" t="str">
        <x:v>删除后记录只读保留</x:v>
      </x:c>
      <x:c r="D116" s="3" t="str">
        <x:v>P0</x:v>
      </x:c>
      <x:c r="E116" s="3" t="str">
        <x:v>生命周期</x:v>
      </x:c>
      <x:c r="F116" s="3" t="str">
        <x:v>Web + API + DB + Worker</x:v>
      </x:c>
      <x:c r="G116" s="3" t="str">
        <x:v>A 已登录且执行配置有效；Workflow W1/W2 指向独立 Workspace。</x:v>
      </x:c>
      <x:c r="H116" s="3" t="str">
        <x:v>Workflow 有成功结果和未过期 Artifact</x:v>
      </x:c>
      <x:c r="I116" s="3" t="str">
        <x:v>1. 删除 Workflow
2. 通过 Deleted Records 查找
3. 打开历史并下载 Artifact</x:v>
      </x:c>
      <x:c r="J116" s="3" t="str">
        <x:v>1. 历史元数据和结果保留
2. 未过期文件可下载
3. 不能恢复、追问或再次运行</x:v>
      </x:c>
      <x:c r="K116" s="3" t="str">
        <x:v>S01;S04;S09</x:v>
      </x:c>
      <x:c r="L116" s="3" t="str">
        <x:v>实现路径存在，待执行验收</x:v>
      </x:c>
      <x:c r="M116" s="12" t="str">
        <x:v>未执行</x:v>
      </x:c>
      <x:c r="N116" s="12" t="str"/>
      <x:c r="O116" s="12" t="str"/>
      <x:c r="P116" s="12" t="str"/>
    </x:row>
    <x:row r="117" ht="57" customHeight="1">
      <x:c r="A117" s="3" t="str">
        <x:v>WF-022</x:v>
      </x:c>
      <x:c r="B117" s="3" t="str">
        <x:v>Workflow 与运行对话</x:v>
      </x:c>
      <x:c r="C117" s="3" t="str">
        <x:v>删除清理凭据计划与 Workspace</x:v>
      </x:c>
      <x:c r="D117" s="3" t="str">
        <x:v>P0</x:v>
      </x:c>
      <x:c r="E117" s="3" t="str">
        <x:v>安全</x:v>
      </x:c>
      <x:c r="F117" s="3" t="str">
        <x:v>Web + API + DB + Worker</x:v>
      </x:c>
      <x:c r="G117" s="3" t="str">
        <x:v>A 已登录且执行配置有效；Workflow W1/W2 指向独立 Workspace。</x:v>
      </x:c>
      <x:c r="H117" s="3" t="str">
        <x:v>Workflow 含 API Secret、Git Secret、Schedule</x:v>
      </x:c>
      <x:c r="I117" s="3" t="str">
        <x:v>1. 确认删除
2. 尝试 API 调用并查询文件
3. 等待计划触发</x:v>
      </x:c>
      <x:c r="J117" s="3" t="str">
        <x:v>1. 凭据、计划和 Workspace 被移除
2. 后续触发被阻断
3. 不删除应保留的历史结果</x:v>
      </x:c>
      <x:c r="K117" s="3" t="str">
        <x:v>S01;S04;S09</x:v>
      </x:c>
      <x:c r="L117" s="3" t="str">
        <x:v>实现路径存在，待执行验收</x:v>
      </x:c>
      <x:c r="M117" s="12" t="str">
        <x:v>未执行</x:v>
      </x:c>
      <x:c r="N117" s="12" t="str"/>
      <x:c r="O117" s="12" t="str"/>
      <x:c r="P117" s="12" t="str"/>
    </x:row>
    <x:row r="118" ht="42" customHeight="1">
      <x:c r="A118" s="3" t="str">
        <x:v>WF-023</x:v>
      </x:c>
      <x:c r="B118" s="3" t="str">
        <x:v>Workflow 与运行对话</x:v>
      </x:c>
      <x:c r="C118" s="3" t="str">
        <x:v>Run 无单独删除入口</x:v>
      </x:c>
      <x:c r="D118" s="3" t="str">
        <x:v>P2</x:v>
      </x:c>
      <x:c r="E118" s="3" t="str">
        <x:v>范围</x:v>
      </x:c>
      <x:c r="F118" s="3" t="str">
        <x:v>Web + API + DB + Worker</x:v>
      </x:c>
      <x:c r="G118" s="3" t="str">
        <x:v>A 已登录且执行配置有效；Workflow W1/W2 指向独立 Workspace。</x:v>
      </x:c>
      <x:c r="H118" s="3" t="str">
        <x:v>现有 Run 历史</x:v>
      </x:c>
      <x:c r="I118" s="3" t="str">
        <x:v>1. 检查每条记录操作和 API 合同</x:v>
      </x:c>
      <x:c r="J118" s="3" t="str">
        <x:v>1. 不提供单条 Run 删除
2. 不暴露 Attempt、Lease、Kill 等运维控制</x:v>
      </x:c>
      <x:c r="K118" s="3" t="str">
        <x:v>S01;S04;S09</x:v>
      </x:c>
      <x:c r="L118" s="3" t="str">
        <x:v>实现路径存在，待执行验收</x:v>
      </x:c>
      <x:c r="M118" s="12" t="str">
        <x:v>未执行</x:v>
      </x:c>
      <x:c r="N118" s="12" t="str"/>
      <x:c r="O118" s="12" t="str"/>
      <x:c r="P118" s="12" t="str"/>
    </x:row>
    <x:row r="119" ht="42" customHeight="1">
      <x:c r="A119" s="3" t="str">
        <x:v>API-001</x:v>
      </x:c>
      <x:c r="B119" s="3" t="str">
        <x:v>Workflow API 与幂等</x:v>
      </x:c>
      <x:c r="C119" s="3" t="str">
        <x:v>默认关闭 API 访问</x:v>
      </x:c>
      <x:c r="D119" s="3" t="str">
        <x:v>P0</x:v>
      </x:c>
      <x:c r="E119" s="3" t="str">
        <x:v>权限</x:v>
      </x:c>
      <x:c r="F119" s="3" t="str">
        <x:v>HTTP + DB + Worker</x:v>
      </x:c>
      <x:c r="G119" s="3" t="str">
        <x:v>准备可运行 W1/W2、A/B 登录态和短期 Workflow Token；所有 Secret 仅使用测试值。</x:v>
      </x:c>
      <x:c r="H119" s="3" t="str">
        <x:v>新建 W1 未启用 API</x:v>
      </x:c>
      <x:c r="I119" s="3" t="str">
        <x:v>1. 查看凭据区
2. 尝试用不存在凭据交换 Token</x:v>
      </x:c>
      <x:c r="J119" s="3" t="str">
        <x:v>1. 未自动生成凭据
2. 未启用时不能 API 触发</x:v>
      </x:c>
      <x:c r="K119" s="3" t="str">
        <x:v>S01;S04;S09</x:v>
      </x:c>
      <x:c r="L119" s="3" t="str">
        <x:v>实现路径存在，待执行验收</x:v>
      </x:c>
      <x:c r="M119" s="12" t="str">
        <x:v>未执行</x:v>
      </x:c>
      <x:c r="N119" s="12" t="str"/>
      <x:c r="O119" s="12" t="str"/>
      <x:c r="P119" s="12" t="str"/>
    </x:row>
    <x:row r="120" ht="57" customHeight="1">
      <x:c r="A120" s="3" t="str">
        <x:v>API-002</x:v>
      </x:c>
      <x:c r="B120" s="3" t="str">
        <x:v>Workflow API 与幂等</x:v>
      </x:c>
      <x:c r="C120" s="3" t="str">
        <x:v>生成凭据仅一次明文</x:v>
      </x:c>
      <x:c r="D120" s="3" t="str">
        <x:v>P0</x:v>
      </x:c>
      <x:c r="E120" s="3" t="str">
        <x:v>安全</x:v>
      </x:c>
      <x:c r="F120" s="3" t="str">
        <x:v>HTTP + DB + Worker</x:v>
      </x:c>
      <x:c r="G120" s="3" t="str">
        <x:v>准备可运行 W1/W2、A/B 登录态和短期 Workflow Token；所有 Secret 仅使用测试值。</x:v>
      </x:c>
      <x:c r="H120" s="3" t="str">
        <x:v>W1 已启用 API</x:v>
      </x:c>
      <x:c r="I120" s="3" t="str">
        <x:v>1. 生成 API Key/Secret
2. 保存一次性展示
3. 刷新详情和再次查询</x:v>
      </x:c>
      <x:c r="J120" s="3" t="str">
        <x:v>1. 仅本次响应可见 Secret
2. 数据库仅存 verifier
3. 页面不会再次明文展示</x:v>
      </x:c>
      <x:c r="K120" s="3" t="str">
        <x:v>S01;S04;S09</x:v>
      </x:c>
      <x:c r="L120" s="3" t="str">
        <x:v>实现路径存在，待执行验收</x:v>
      </x:c>
      <x:c r="M120" s="12" t="str">
        <x:v>未执行</x:v>
      </x:c>
      <x:c r="N120" s="12" t="str"/>
      <x:c r="O120" s="12" t="str"/>
      <x:c r="P120" s="12" t="str"/>
    </x:row>
    <x:row r="121" ht="57" customHeight="1">
      <x:c r="A121" s="3" t="str">
        <x:v>API-003</x:v>
      </x:c>
      <x:c r="B121" s="3" t="str">
        <x:v>Workflow API 与幂等</x:v>
      </x:c>
      <x:c r="C121" s="3" t="str">
        <x:v>Basic 交换 15 分钟 Token</x:v>
      </x:c>
      <x:c r="D121" s="3" t="str">
        <x:v>P0</x:v>
      </x:c>
      <x:c r="E121" s="3" t="str">
        <x:v>正向</x:v>
      </x:c>
      <x:c r="F121" s="3" t="str">
        <x:v>HTTP + DB + Worker</x:v>
      </x:c>
      <x:c r="G121" s="3" t="str">
        <x:v>准备可运行 W1/W2、A/B 登录态和短期 Workflow Token；所有 Secret 仅使用测试值。</x:v>
      </x:c>
      <x:c r="H121" s="3" t="str">
        <x:v>合法 W1 API Key/Secret</x:v>
      </x:c>
      <x:c r="I121" s="3" t="str">
        <x:v>1. 仅向 api-token 端点提交 Basic Auth
2. 读取到期时间
3. 用 Bearer 调用 W1</x:v>
      </x:c>
      <x:c r="J121" s="3" t="str">
        <x:v>1. 换取约 15 分钟 JWT
2. 允许限定 W1 的启动和查询</x:v>
      </x:c>
      <x:c r="K121" s="3" t="str">
        <x:v>S01;S04;S09</x:v>
      </x:c>
      <x:c r="L121" s="3" t="str">
        <x:v>实现路径存在，待执行验收</x:v>
      </x:c>
      <x:c r="M121" s="12" t="str">
        <x:v>未执行</x:v>
      </x:c>
      <x:c r="N121" s="12" t="str"/>
      <x:c r="O121" s="12" t="str"/>
      <x:c r="P121" s="12" t="str"/>
    </x:row>
    <x:row r="122" ht="42" customHeight="1">
      <x:c r="A122" s="3" t="str">
        <x:v>API-004</x:v>
      </x:c>
      <x:c r="B122" s="3" t="str">
        <x:v>Workflow API 与幂等</x:v>
      </x:c>
      <x:c r="C122" s="3" t="str">
        <x:v>Basic 不可直调普通业务 API</x:v>
      </x:c>
      <x:c r="D122" s="3" t="str">
        <x:v>P0</x:v>
      </x:c>
      <x:c r="E122" s="3" t="str">
        <x:v>权限</x:v>
      </x:c>
      <x:c r="F122" s="3" t="str">
        <x:v>HTTP + DB + Worker</x:v>
      </x:c>
      <x:c r="G122" s="3" t="str">
        <x:v>准备可运行 W1/W2、A/B 登录态和短期 Workflow Token；所有 Secret 仅使用测试值。</x:v>
      </x:c>
      <x:c r="H122" s="3" t="str">
        <x:v>合法 Workflow Basic 凭据</x:v>
      </x:c>
      <x:c r="I122" s="3" t="str">
        <x:v>1. 用 Basic 请求 /me、Settings 和 runs
2. 比较 token exchange</x:v>
      </x:c>
      <x:c r="J122" s="3" t="str">
        <x:v>1. 只有交换端点接受 Basic
2. 不能把 Workflow 凭据当用户登录</x:v>
      </x:c>
      <x:c r="K122" s="3" t="str">
        <x:v>S01;S04;S09</x:v>
      </x:c>
      <x:c r="L122" s="3" t="str">
        <x:v>实现路径存在，待执行验收</x:v>
      </x:c>
      <x:c r="M122" s="12" t="str">
        <x:v>未执行</x:v>
      </x:c>
      <x:c r="N122" s="12" t="str"/>
      <x:c r="O122" s="12" t="str"/>
      <x:c r="P122" s="12" t="str"/>
    </x:row>
    <x:row r="123" ht="42" customHeight="1">
      <x:c r="A123" s="3" t="str">
        <x:v>API-005</x:v>
      </x:c>
      <x:c r="B123" s="3" t="str">
        <x:v>Workflow API 与幂等</x:v>
      </x:c>
      <x:c r="C123" s="3" t="str">
        <x:v>错误凭据和过期 Token</x:v>
      </x:c>
      <x:c r="D123" s="3" t="str">
        <x:v>P0</x:v>
      </x:c>
      <x:c r="E123" s="3" t="str">
        <x:v>安全</x:v>
      </x:c>
      <x:c r="F123" s="3" t="str">
        <x:v>HTTP + DB + Worker</x:v>
      </x:c>
      <x:c r="G123" s="3" t="str">
        <x:v>准备可运行 W1/W2、A/B 登录态和短期 Workflow Token；所有 Secret 仅使用测试值。</x:v>
      </x:c>
      <x:c r="H123" s="3" t="str">
        <x:v>错 Secret、改签名 JWT、过期 JWT</x:v>
      </x:c>
      <x:c r="I123" s="3" t="str">
        <x:v>1. 分别交换或调用 Run
2. 查看响应和任务数量</x:v>
      </x:c>
      <x:c r="J123" s="3" t="str">
        <x:v>1. 认证失败且不创建 Run
2. 错误不披露 verifier 或签名密钥</x:v>
      </x:c>
      <x:c r="K123" s="3" t="str">
        <x:v>S01;S04;S09</x:v>
      </x:c>
      <x:c r="L123" s="3" t="str">
        <x:v>实现路径存在，待执行验收</x:v>
      </x:c>
      <x:c r="M123" s="12" t="str">
        <x:v>未执行</x:v>
      </x:c>
      <x:c r="N123" s="12" t="str"/>
      <x:c r="O123" s="12" t="str"/>
      <x:c r="P123" s="12" t="str"/>
    </x:row>
    <x:row r="124" ht="72" customHeight="1">
      <x:c r="A124" s="3" t="str">
        <x:v>API-006</x:v>
      </x:c>
      <x:c r="B124" s="3" t="str">
        <x:v>Workflow API 与幂等</x:v>
      </x:c>
      <x:c r="C124" s="3" t="str">
        <x:v>重新生成立即撤销旧链路</x:v>
      </x:c>
      <x:c r="D124" s="3" t="str">
        <x:v>P0</x:v>
      </x:c>
      <x:c r="E124" s="3" t="str">
        <x:v>安全</x:v>
      </x:c>
      <x:c r="F124" s="3" t="str">
        <x:v>HTTP + DB + Worker</x:v>
      </x:c>
      <x:c r="G124" s="3" t="str">
        <x:v>准备可运行 W1/W2、A/B 登录态和短期 Workflow Token；所有 Secret 仅使用测试值。</x:v>
      </x:c>
      <x:c r="H124" s="3" t="str">
        <x:v>旧凭据已换 Token T1</x:v>
      </x:c>
      <x:c r="I124" s="3" t="str">
        <x:v>1. 重新生成凭据
2. 用旧凭据交换
3. 用 T1 调用
4. 用新凭据调用</x:v>
      </x:c>
      <x:c r="J124" s="3" t="str">
        <x:v>1. 旧凭据和派生 T1 均立即失效
2. 新凭据有效</x:v>
      </x:c>
      <x:c r="K124" s="3" t="str">
        <x:v>S01;S04;S09</x:v>
      </x:c>
      <x:c r="L124" s="3" t="str">
        <x:v>实现路径存在，待执行验收</x:v>
      </x:c>
      <x:c r="M124" s="12" t="str">
        <x:v>未执行</x:v>
      </x:c>
      <x:c r="N124" s="12" t="str"/>
      <x:c r="O124" s="12" t="str"/>
      <x:c r="P124" s="12" t="str"/>
    </x:row>
    <x:row r="125" ht="57" customHeight="1">
      <x:c r="A125" s="3" t="str">
        <x:v>API-007</x:v>
      </x:c>
      <x:c r="B125" s="3" t="str">
        <x:v>Workflow API 与幂等</x:v>
      </x:c>
      <x:c r="C125" s="3" t="str">
        <x:v>API 无输入执行目标</x:v>
      </x:c>
      <x:c r="D125" s="3" t="str">
        <x:v>P1</x:v>
      </x:c>
      <x:c r="E125" s="3" t="str">
        <x:v>正向</x:v>
      </x:c>
      <x:c r="F125" s="3" t="str">
        <x:v>HTTP + DB + Worker</x:v>
      </x:c>
      <x:c r="G125" s="3" t="str">
        <x:v>准备可运行 W1/W2、A/B 登录态和短期 Workflow Token；所有 Secret 仅使用测试值。</x:v>
      </x:c>
      <x:c r="H125" s="3" t="str">
        <x:v>有效 W1 Token；无附加 text/JSON</x:v>
      </x:c>
      <x:c r="I125" s="3" t="str">
        <x:v>1. POST runs
2. 查询 Run 详情
3. 等待执行完成</x:v>
      </x:c>
      <x:c r="J125" s="3" t="str">
        <x:v>1. 返回 202 和 Run ID
2. 使用固定 Workflow 目标
3. 触发类型 API</x:v>
      </x:c>
      <x:c r="K125" s="3" t="str">
        <x:v>S01;S04;S09</x:v>
      </x:c>
      <x:c r="L125" s="3" t="str">
        <x:v>实现路径存在，待执行验收</x:v>
      </x:c>
      <x:c r="M125" s="12" t="str">
        <x:v>未执行</x:v>
      </x:c>
      <x:c r="N125" s="12" t="str"/>
      <x:c r="O125" s="12" t="str"/>
      <x:c r="P125" s="12" t="str"/>
    </x:row>
    <x:row r="126" ht="42" customHeight="1">
      <x:c r="A126" s="3" t="str">
        <x:v>API-008</x:v>
      </x:c>
      <x:c r="B126" s="3" t="str">
        <x:v>Workflow API 与幂等</x:v>
      </x:c>
      <x:c r="C126" s="3" t="str">
        <x:v>API 文本输入</x:v>
      </x:c>
      <x:c r="D126" s="3" t="str">
        <x:v>P0</x:v>
      </x:c>
      <x:c r="E126" s="3" t="str">
        <x:v>正向</x:v>
      </x:c>
      <x:c r="F126" s="3" t="str">
        <x:v>HTTP + DB + Worker</x:v>
      </x:c>
      <x:c r="G126" s="3" t="str">
        <x:v>准备可运行 W1/W2、A/B 登录态和短期 Workflow Token；所有 Secret 仅使用测试值。</x:v>
      </x:c>
      <x:c r="H126" s="3" t="str">
        <x:v>text_input=只总结销售数据</x:v>
      </x:c>
      <x:c r="I126" s="3" t="str">
        <x:v>1. POST runs
2. 查询状态和 conversation 首条输入</x:v>
      </x:c>
      <x:c r="J126" s="3" t="str">
        <x:v>1. 202 接受
2. 目标与 API 附加文本都可见且进入冻结输入</x:v>
      </x:c>
      <x:c r="K126" s="3" t="str">
        <x:v>S01;S04;S09</x:v>
      </x:c>
      <x:c r="L126" s="3" t="str">
        <x:v>实现路径存在，待执行验收</x:v>
      </x:c>
      <x:c r="M126" s="12" t="str">
        <x:v>未执行</x:v>
      </x:c>
      <x:c r="N126" s="12" t="str"/>
      <x:c r="O126" s="12" t="str"/>
      <x:c r="P126" s="12" t="str"/>
    </x:row>
    <x:row r="127" ht="57" customHeight="1">
      <x:c r="A127" s="3" t="str">
        <x:v>API-009</x:v>
      </x:c>
      <x:c r="B127" s="3" t="str">
        <x:v>Workflow API 与幂等</x:v>
      </x:c>
      <x:c r="C127" s="3" t="str">
        <x:v>API JSON 输入</x:v>
      </x:c>
      <x:c r="D127" s="3" t="str">
        <x:v>P0</x:v>
      </x:c>
      <x:c r="E127" s="3" t="str">
        <x:v>正向</x:v>
      </x:c>
      <x:c r="F127" s="3" t="str">
        <x:v>HTTP + DB + Worker</x:v>
      </x:c>
      <x:c r="G127" s="3" t="str">
        <x:v>准备可运行 W1/W2、A/B 登录态和短期 Workflow Token；所有 Secret 仅使用测试值。</x:v>
      </x:c>
      <x:c r="H127" s="3" t="str">
        <x:v>json_input={"region":"east","count":3}</x:v>
      </x:c>
      <x:c r="I127" s="3" t="str">
        <x:v>1. POST runs
2. 读取详情和历史
3. 检查执行输入</x:v>
      </x:c>
      <x:c r="J127" s="3" t="str">
        <x:v>1. 保留 JSON 结构和值
2. 目标仍存在
3. 不把 JSON 最终结果伪造成文件</x:v>
      </x:c>
      <x:c r="K127" s="3" t="str">
        <x:v>S01;S04;S09</x:v>
      </x:c>
      <x:c r="L127" s="3" t="str">
        <x:v>实现路径存在，待执行验收</x:v>
      </x:c>
      <x:c r="M127" s="12" t="str">
        <x:v>未执行</x:v>
      </x:c>
      <x:c r="N127" s="12" t="str"/>
      <x:c r="O127" s="12" t="str"/>
      <x:c r="P127" s="12" t="str"/>
    </x:row>
    <x:row r="128" ht="42" customHeight="1">
      <x:c r="A128" s="3" t="str">
        <x:v>API-010</x:v>
      </x:c>
      <x:c r="B128" s="3" t="str">
        <x:v>Workflow API 与幂等</x:v>
      </x:c>
      <x:c r="C128" s="3" t="str">
        <x:v>文本输入字节边界</x:v>
      </x:c>
      <x:c r="D128" s="3" t="str">
        <x:v>P1</x:v>
      </x:c>
      <x:c r="E128" s="3" t="str">
        <x:v>边界</x:v>
      </x:c>
      <x:c r="F128" s="3" t="str">
        <x:v>HTTP + DB + Worker</x:v>
      </x:c>
      <x:c r="G128" s="3" t="str">
        <x:v>准备可运行 W1/W2、A/B 登录态和短期 Workflow Token；所有 Secret 仅使用测试值。</x:v>
      </x:c>
      <x:c r="H128" s="3" t="str">
        <x:v>100000 与 100001 字节；中文按 UTF-8 字节计</x:v>
      </x:c>
      <x:c r="I128" s="3" t="str">
        <x:v>1. 逐项 POST runs
2. 对比接收情况</x:v>
      </x:c>
      <x:c r="J128" s="3" t="str">
        <x:v>1. 100000 字节以内符合限制
2. 超限拒绝且不创建 Run</x:v>
      </x:c>
      <x:c r="K128" s="3" t="str">
        <x:v>S01;S04;S09</x:v>
      </x:c>
      <x:c r="L128" s="3" t="str">
        <x:v>实现路径存在，待执行验收</x:v>
      </x:c>
      <x:c r="M128" s="12" t="str">
        <x:v>未执行</x:v>
      </x:c>
      <x:c r="N128" s="12" t="str"/>
      <x:c r="O128" s="12" t="str"/>
      <x:c r="P128" s="12" t="str"/>
    </x:row>
    <x:row r="129" ht="42" customHeight="1">
      <x:c r="A129" s="3" t="str">
        <x:v>API-011</x:v>
      </x:c>
      <x:c r="B129" s="3" t="str">
        <x:v>Workflow API 与幂等</x:v>
      </x:c>
      <x:c r="C129" s="3" t="str">
        <x:v>JSON 序列化大小边界</x:v>
      </x:c>
      <x:c r="D129" s="3" t="str">
        <x:v>P1</x:v>
      </x:c>
      <x:c r="E129" s="3" t="str">
        <x:v>边界</x:v>
      </x:c>
      <x:c r="F129" s="3" t="str">
        <x:v>HTTP + DB + Worker</x:v>
      </x:c>
      <x:c r="G129" s="3" t="str">
        <x:v>准备可运行 W1/W2、A/B 登录态和短期 Workflow Token；所有 Secret 仅使用测试值。</x:v>
      </x:c>
      <x:c r="H129" s="3" t="str">
        <x:v>序列化后 1048576 与 1048577 字节 JSON</x:v>
      </x:c>
      <x:c r="I129" s="3" t="str">
        <x:v>1. 分别提交两份 JSON
2. 检查状态与历史</x:v>
      </x:c>
      <x:c r="J129" s="3" t="str">
        <x:v>1. 按实际编码字节限制 1 MiB
2. 超限明确拒绝</x:v>
      </x:c>
      <x:c r="K129" s="3" t="str">
        <x:v>S01;S04;S09</x:v>
      </x:c>
      <x:c r="L129" s="3" t="str">
        <x:v>实现路径存在，待执行验收</x:v>
      </x:c>
      <x:c r="M129" s="12" t="str">
        <x:v>未执行</x:v>
      </x:c>
      <x:c r="N129" s="12" t="str"/>
      <x:c r="O129" s="12" t="str"/>
      <x:c r="P129" s="12" t="str"/>
    </x:row>
    <x:row r="130" ht="57" customHeight="1">
      <x:c r="A130" s="3" t="str">
        <x:v>API-012</x:v>
      </x:c>
      <x:c r="B130" s="3" t="str">
        <x:v>Workflow API 与幂等</x:v>
      </x:c>
      <x:c r="C130" s="3" t="str">
        <x:v>相同幂等 Key 重放</x:v>
      </x:c>
      <x:c r="D130" s="3" t="str">
        <x:v>P0</x:v>
      </x:c>
      <x:c r="E130" s="3" t="str">
        <x:v>幂等</x:v>
      </x:c>
      <x:c r="F130" s="3" t="str">
        <x:v>HTTP + DB + Worker</x:v>
      </x:c>
      <x:c r="G130" s="3" t="str">
        <x:v>准备可运行 W1/W2、A/B 登录态和短期 Workflow Token；所有 Secret 仅使用测试值。</x:v>
      </x:c>
      <x:c r="H130" s="3" t="str">
        <x:v>Idempotency-Key=qa-run-001；相同 body</x:v>
      </x:c>
      <x:c r="I130" s="3" t="str">
        <x:v>1. 连续发送两次 POST runs
2. 比较 Run ID 和模型调用数</x:v>
      </x:c>
      <x:c r="J130" s="3" t="str">
        <x:v>1. 返回同一 Run
2. 只创建并执行一次
3. 不会重复扣费</x:v>
      </x:c>
      <x:c r="K130" s="3" t="str">
        <x:v>S01;S04;S09</x:v>
      </x:c>
      <x:c r="L130" s="3" t="str">
        <x:v>实现路径存在，待执行验收</x:v>
      </x:c>
      <x:c r="M130" s="12" t="str">
        <x:v>未执行</x:v>
      </x:c>
      <x:c r="N130" s="12" t="str"/>
      <x:c r="O130" s="12" t="str"/>
      <x:c r="P130" s="12" t="str"/>
    </x:row>
    <x:row r="131" ht="57" customHeight="1">
      <x:c r="A131" s="3" t="str">
        <x:v>API-013</x:v>
      </x:c>
      <x:c r="B131" s="3" t="str">
        <x:v>Workflow API 与幂等</x:v>
      </x:c>
      <x:c r="C131" s="3" t="str">
        <x:v>相同 Key 不同请求冲突</x:v>
      </x:c>
      <x:c r="D131" s="3" t="str">
        <x:v>P0</x:v>
      </x:c>
      <x:c r="E131" s="3" t="str">
        <x:v>幂等</x:v>
      </x:c>
      <x:c r="F131" s="3" t="str">
        <x:v>HTTP + DB + Worker</x:v>
      </x:c>
      <x:c r="G131" s="3" t="str">
        <x:v>准备可运行 W1/W2、A/B 登录态和短期 Workflow Token；所有 Secret 仅使用测试值。</x:v>
      </x:c>
      <x:c r="H131" s="3" t="str">
        <x:v>相同 Key，第一次 text=A 第二次 text=B</x:v>
      </x:c>
      <x:c r="I131" s="3" t="str">
        <x:v>1. 先提交 A
2. 再提交 B
3. 检查原 Run</x:v>
      </x:c>
      <x:c r="J131" s="3" t="str">
        <x:v>1. 不将 B 当新请求或覆盖原输入
2. 冲突明确返回
3. 原 Run 保留 A</x:v>
      </x:c>
      <x:c r="K131" s="3" t="str">
        <x:v>S01;S04;S09</x:v>
      </x:c>
      <x:c r="L131" s="3" t="str">
        <x:v>实现路径存在，待执行验收</x:v>
      </x:c>
      <x:c r="M131" s="12" t="str">
        <x:v>未执行</x:v>
      </x:c>
      <x:c r="N131" s="12" t="str"/>
      <x:c r="O131" s="12" t="str"/>
      <x:c r="P131" s="12" t="str"/>
    </x:row>
    <x:row r="132" ht="57" customHeight="1">
      <x:c r="A132" s="3" t="str">
        <x:v>API-014</x:v>
      </x:c>
      <x:c r="B132" s="3" t="str">
        <x:v>Workflow API 与幂等</x:v>
      </x:c>
      <x:c r="C132" s="3" t="str">
        <x:v>并发幂等请求</x:v>
      </x:c>
      <x:c r="D132" s="3" t="str">
        <x:v>P0</x:v>
      </x:c>
      <x:c r="E132" s="3" t="str">
        <x:v>并发</x:v>
      </x:c>
      <x:c r="F132" s="3" t="str">
        <x:v>HTTP + DB + Worker</x:v>
      </x:c>
      <x:c r="G132" s="3" t="str">
        <x:v>准备可运行 W1/W2、A/B 登录态和短期 Workflow Token；所有 Secret 仅使用测试值。</x:v>
      </x:c>
      <x:c r="H132" s="3" t="str">
        <x:v>20 个同 Key、同 body 的请求</x:v>
      </x:c>
      <x:c r="I132" s="3" t="str">
        <x:v>1. 同时发送请求
2. 汇总返回 ID
3. 检查 DB 与执行记录</x:v>
      </x:c>
      <x:c r="J132" s="3" t="str">
        <x:v>1. 只有一个 Run 和一次有效模型调用
2. 重放结果一致或可安全重试</x:v>
      </x:c>
      <x:c r="K132" s="3" t="str">
        <x:v>S01;S04;S09</x:v>
      </x:c>
      <x:c r="L132" s="3" t="str">
        <x:v>实现路径存在，待执行验收</x:v>
      </x:c>
      <x:c r="M132" s="12" t="str">
        <x:v>未执行</x:v>
      </x:c>
      <x:c r="N132" s="12" t="str"/>
      <x:c r="O132" s="12" t="str"/>
      <x:c r="P132" s="12" t="str"/>
    </x:row>
    <x:row r="133" ht="57" customHeight="1">
      <x:c r="A133" s="3" t="str">
        <x:v>API-015</x:v>
      </x:c>
      <x:c r="B133" s="3" t="str">
        <x:v>Workflow API 与幂等</x:v>
      </x:c>
      <x:c r="C133" s="3" t="str">
        <x:v>幂等 Key 长度校验</x:v>
      </x:c>
      <x:c r="D133" s="3" t="str">
        <x:v>P1</x:v>
      </x:c>
      <x:c r="E133" s="3" t="str">
        <x:v>边界</x:v>
      </x:c>
      <x:c r="F133" s="3" t="str">
        <x:v>HTTP + DB + Worker</x:v>
      </x:c>
      <x:c r="G133" s="3" t="str">
        <x:v>准备可运行 W1/W2、A/B 登录态和短期 Workflow Token；所有 Secret 仅使用测试值。</x:v>
      </x:c>
      <x:c r="H133" s="3" t="str">
        <x:v>有效 200 字符与超限 201 字符 Key</x:v>
      </x:c>
      <x:c r="I133" s="3" t="str">
        <x:v>1. 分别发送 API 运行请求
2. 查看响应</x:v>
      </x:c>
      <x:c r="J133" s="3" t="str">
        <x:v>1. 有效边界按合同接收
2. 超限拒绝
3. 不截断导致 Key 碰撞</x:v>
      </x:c>
      <x:c r="K133" s="3" t="str">
        <x:v>S01;S04;S09</x:v>
      </x:c>
      <x:c r="L133" s="3" t="str">
        <x:v>实现路径存在，待执行验收</x:v>
      </x:c>
      <x:c r="M133" s="12" t="str">
        <x:v>未执行</x:v>
      </x:c>
      <x:c r="N133" s="12" t="str"/>
      <x:c r="O133" s="12" t="str"/>
      <x:c r="P133" s="12" t="str"/>
    </x:row>
    <x:row r="134" ht="42" customHeight="1">
      <x:c r="A134" s="3" t="str">
        <x:v>API-016</x:v>
      </x:c>
      <x:c r="B134" s="3" t="str">
        <x:v>Workflow API 与幂等</x:v>
      </x:c>
      <x:c r="C134" s="3" t="str">
        <x:v>Workflow Token 资源隔离</x:v>
      </x:c>
      <x:c r="D134" s="3" t="str">
        <x:v>P0</x:v>
      </x:c>
      <x:c r="E134" s="3" t="str">
        <x:v>权限</x:v>
      </x:c>
      <x:c r="F134" s="3" t="str">
        <x:v>HTTP + DB + Worker</x:v>
      </x:c>
      <x:c r="G134" s="3" t="str">
        <x:v>准备可运行 W1/W2、A/B 登录态和短期 Workflow Token；所有 Secret 仅使用测试值。</x:v>
      </x:c>
      <x:c r="H134" s="3" t="str">
        <x:v>W1 Token；W2 Run ID</x:v>
      </x:c>
      <x:c r="I134" s="3" t="str">
        <x:v>1. 请求 W2 runs/detail/events
2. 请求 Settings/Workspace/用户接口</x:v>
      </x:c>
      <x:c r="J134" s="3" t="str">
        <x:v>1. 只可启动和检查 W1
2. 跨 Workflow 和产品 API 全部拒绝</x:v>
      </x:c>
      <x:c r="K134" s="3" t="str">
        <x:v>S01;S04;S09</x:v>
      </x:c>
      <x:c r="L134" s="3" t="str">
        <x:v>实现路径存在，待执行验收</x:v>
      </x:c>
      <x:c r="M134" s="12" t="str">
        <x:v>未执行</x:v>
      </x:c>
      <x:c r="N134" s="12" t="str"/>
      <x:c r="O134" s="12" t="str"/>
      <x:c r="P134" s="12" t="str"/>
    </x:row>
    <x:row r="135" ht="57" customHeight="1">
      <x:c r="A135" s="3" t="str">
        <x:v>API-017</x:v>
      </x:c>
      <x:c r="B135" s="3" t="str">
        <x:v>Workflow API 与幂等</x:v>
      </x:c>
      <x:c r="C135" s="3" t="str">
        <x:v>SSE 实时与重放</x:v>
      </x:c>
      <x:c r="D135" s="3" t="str">
        <x:v>P0</x:v>
      </x:c>
      <x:c r="E135" s="3" t="str">
        <x:v>连续性</x:v>
      </x:c>
      <x:c r="F135" s="3" t="str">
        <x:v>HTTP + DB + Worker</x:v>
      </x:c>
      <x:c r="G135" s="3" t="str">
        <x:v>准备可运行 W1/W2、A/B 登录态和短期 Workflow Token；所有 Secret 仅使用测试值。</x:v>
      </x:c>
      <x:c r="H135" s="3" t="str">
        <x:v>已知 Run 事件序列；断线前记录序号</x:v>
      </x:c>
      <x:c r="I135" s="3" t="str">
        <x:v>1. 订阅 events
2. 中途断开后携带已知游标重连
3. 比对事件</x:v>
      </x:c>
      <x:c r="J135" s="3" t="str">
        <x:v>1. 重放与实时顺序正确
2. 终态只一次
3. 不遗漏关键状态或出现跨 Run 事件</x:v>
      </x:c>
      <x:c r="K135" s="3" t="str">
        <x:v>S01;S04;S09</x:v>
      </x:c>
      <x:c r="L135" s="3" t="str">
        <x:v>实现路径存在，待执行验收</x:v>
      </x:c>
      <x:c r="M135" s="12" t="str">
        <x:v>未执行</x:v>
      </x:c>
      <x:c r="N135" s="12" t="str"/>
      <x:c r="O135" s="12" t="str"/>
      <x:c r="P135" s="12" t="str"/>
    </x:row>
    <x:row r="136" ht="57" customHeight="1">
      <x:c r="A136" s="3" t="str">
        <x:v>API-018</x:v>
      </x:c>
      <x:c r="B136" s="3" t="str">
        <x:v>Workflow API 与幂等</x:v>
      </x:c>
      <x:c r="C136" s="3" t="str">
        <x:v>无积分 API 错误</x:v>
      </x:c>
      <x:c r="D136" s="3" t="str">
        <x:v>P0</x:v>
      </x:c>
      <x:c r="E136" s="3" t="str">
        <x:v>异常</x:v>
      </x:c>
      <x:c r="F136" s="3" t="str">
        <x:v>HTTP + DB + Worker</x:v>
      </x:c>
      <x:c r="G136" s="3" t="str">
        <x:v>准备可运行 W1/W2、A/B 登录态和短期 Workflow Token；所有 Secret 仅使用测试值。</x:v>
      </x:c>
      <x:c r="H136" s="3" t="str">
        <x:v>A balance&lt;=0</x:v>
      </x:c>
      <x:c r="I136" s="3" t="str">
        <x:v>1. 用 W1 Token POST runs
2. 检查 HTTP 与返回元数据</x:v>
      </x:c>
      <x:c r="J136" s="3" t="str">
        <x:v>1. 429 insufficient_credits
2. 只含本用户余额与下一次分配时间
3. 无模型执行</x:v>
      </x:c>
      <x:c r="K136" s="3" t="str">
        <x:v>S01;S04;S09</x:v>
      </x:c>
      <x:c r="L136" s="3" t="str">
        <x:v>实现路径存在，待执行验收</x:v>
      </x:c>
      <x:c r="M136" s="12" t="str">
        <x:v>未执行</x:v>
      </x:c>
      <x:c r="N136" s="12" t="str"/>
      <x:c r="O136" s="12" t="str"/>
      <x:c r="P136" s="12" t="str"/>
    </x:row>
    <x:row r="137" ht="42" customHeight="1">
      <x:c r="A137" s="3" t="str">
        <x:v>API-019</x:v>
      </x:c>
      <x:c r="B137" s="3" t="str">
        <x:v>Workflow API 与幂等</x:v>
      </x:c>
      <x:c r="C137" s="3" t="str">
        <x:v>停用用户使 Token 失效</x:v>
      </x:c>
      <x:c r="D137" s="3" t="str">
        <x:v>P0</x:v>
      </x:c>
      <x:c r="E137" s="3" t="str">
        <x:v>权限</x:v>
      </x:c>
      <x:c r="F137" s="3" t="str">
        <x:v>HTTP + DB + Worker</x:v>
      </x:c>
      <x:c r="G137" s="3" t="str">
        <x:v>准备可运行 W1/W2、A/B 登录态和短期 Workflow Token；所有 Secret 仅使用测试值。</x:v>
      </x:c>
      <x:c r="H137" s="3" t="str">
        <x:v>W1 Token 未过期</x:v>
      </x:c>
      <x:c r="I137" s="3" t="str">
        <x:v>1. 管理员停用 A
2. 重试 W1 启动和查看</x:v>
      </x:c>
      <x:c r="J137" s="3" t="str">
        <x:v>1. 即时拒绝
2. 不能靠旧 Workflow Token 绕过账号停用</x:v>
      </x:c>
      <x:c r="K137" s="3" t="str">
        <x:v>S01;S04;S09</x:v>
      </x:c>
      <x:c r="L137" s="3" t="str">
        <x:v>实现路径存在，待执行验收</x:v>
      </x:c>
      <x:c r="M137" s="12" t="str">
        <x:v>未执行</x:v>
      </x:c>
      <x:c r="N137" s="12" t="str"/>
      <x:c r="O137" s="12" t="str"/>
      <x:c r="P137" s="12" t="str"/>
    </x:row>
    <x:row r="138" ht="57" customHeight="1">
      <x:c r="A138" s="3" t="str">
        <x:v>SCH-001</x:v>
      </x:c>
      <x:c r="B138" s="3" t="str">
        <x:v>定时触发</x:v>
      </x:c>
      <x:c r="C138" s="3" t="str">
        <x:v>小时级计划</x:v>
      </x:c>
      <x:c r="D138" s="3" t="str">
        <x:v>P0</x:v>
      </x:c>
      <x:c r="E138" s="3" t="str">
        <x:v>正向</x:v>
      </x:c>
      <x:c r="F138" s="3" t="str">
        <x:v>DB + Worker + 可控时钟</x:v>
      </x:c>
      <x:c r="G138" s="3" t="str">
        <x:v>测试 Worker 可控制时钟；A 启用且有可用 Workflow；禁用真实外部写操作。</x:v>
      </x:c>
      <x:c r="H138" s="3" t="str">
        <x:v>W1 设置 hourly 与固定分钟</x:v>
      </x:c>
      <x:c r="I138" s="3" t="str">
        <x:v>1. 保存 Schedule
2. 推进至下一触发时刻
3. 查询 Run</x:v>
      </x:c>
      <x:c r="J138" s="3" t="str">
        <x:v>1. 到期创建 scheduled Run
2. 执行固定目标
3. 不携带独立默认输入</x:v>
      </x:c>
      <x:c r="K138" s="3" t="str">
        <x:v>S01;S09</x:v>
      </x:c>
      <x:c r="L138" s="3" t="str">
        <x:v>实现路径存在，待执行验收</x:v>
      </x:c>
      <x:c r="M138" s="12" t="str">
        <x:v>未执行</x:v>
      </x:c>
      <x:c r="N138" s="12" t="str">
        <x:v>部分步骤证据：E2E-032 阻塞。完整结果见“E2E执行”。未执行全部原用例步骤，不据此标记整条通过。</x:v>
      </x:c>
      <x:c r="O138" s="12" t="str"/>
      <x:c r="P138" s="12" t="str">
        <x:v>Codex / 2026-09-06 17:21 Asia/Shanghai</x:v>
      </x:c>
    </x:row>
    <x:row r="139" ht="42" customHeight="1">
      <x:c r="A139" s="3" t="str">
        <x:v>SCH-002</x:v>
      </x:c>
      <x:c r="B139" s="3" t="str">
        <x:v>定时触发</x:v>
      </x:c>
      <x:c r="C139" s="3" t="str">
        <x:v>每日计划与用户时区</x:v>
      </x:c>
      <x:c r="D139" s="3" t="str">
        <x:v>P0</x:v>
      </x:c>
      <x:c r="E139" s="3" t="str">
        <x:v>正向</x:v>
      </x:c>
      <x:c r="F139" s="3" t="str">
        <x:v>DB + Worker + 可控时钟</x:v>
      </x:c>
      <x:c r="G139" s="3" t="str">
        <x:v>测试 Worker 可控制时钟；A 启用且有可用 Workflow；禁用真实外部写操作。</x:v>
      </x:c>
      <x:c r="H139" s="3" t="str">
        <x:v>A 时区 Asia/Shanghai；daily=09:00</x:v>
      </x:c>
      <x:c r="I139" s="3" t="str">
        <x:v>1. 创建不覆盖时区的计划
2. 推进 UTC 时钟到当地 09:00</x:v>
      </x:c>
      <x:c r="J139" s="3" t="str">
        <x:v>1. 按用户默认时区计算计划
2. 触发时间和显示一致</x:v>
      </x:c>
      <x:c r="K139" s="3" t="str">
        <x:v>S01;S09</x:v>
      </x:c>
      <x:c r="L139" s="3" t="str">
        <x:v>实现路径存在，待执行验收</x:v>
      </x:c>
      <x:c r="M139" s="12" t="str">
        <x:v>未执行</x:v>
      </x:c>
      <x:c r="N139" s="12" t="str"/>
      <x:c r="O139" s="12" t="str"/>
      <x:c r="P139" s="12" t="str"/>
    </x:row>
    <x:row r="140" ht="42" customHeight="1">
      <x:c r="A140" s="3" t="str">
        <x:v>SCH-003</x:v>
      </x:c>
      <x:c r="B140" s="3" t="str">
        <x:v>定时触发</x:v>
      </x:c>
      <x:c r="C140" s="3" t="str">
        <x:v>每周计划</x:v>
      </x:c>
      <x:c r="D140" s="3" t="str">
        <x:v>P1</x:v>
      </x:c>
      <x:c r="E140" s="3" t="str">
        <x:v>正向</x:v>
      </x:c>
      <x:c r="F140" s="3" t="str">
        <x:v>DB + Worker + 可控时钟</x:v>
      </x:c>
      <x:c r="G140" s="3" t="str">
        <x:v>测试 Worker 可控制时钟；A 启用且有可用 Workflow；禁用真实外部写操作。</x:v>
      </x:c>
      <x:c r="H140" s="3" t="str">
        <x:v>weekly，周一 10:30</x:v>
      </x:c>
      <x:c r="I140" s="3" t="str">
        <x:v>1. 保存并推进到周日/周一边界
2. 检查创建的 Run</x:v>
      </x:c>
      <x:c r="J140" s="3" t="str">
        <x:v>1. 仅匹配的每周时刻触发
2. 不会每天执行</x:v>
      </x:c>
      <x:c r="K140" s="3" t="str">
        <x:v>S01;S09</x:v>
      </x:c>
      <x:c r="L140" s="3" t="str">
        <x:v>实现路径存在，待执行验收</x:v>
      </x:c>
      <x:c r="M140" s="12" t="str">
        <x:v>未执行</x:v>
      </x:c>
      <x:c r="N140" s="12" t="str"/>
      <x:c r="O140" s="12" t="str"/>
      <x:c r="P140" s="12" t="str"/>
    </x:row>
    <x:row r="141" ht="42" customHeight="1">
      <x:c r="A141" s="3" t="str">
        <x:v>SCH-004</x:v>
      </x:c>
      <x:c r="B141" s="3" t="str">
        <x:v>定时触发</x:v>
      </x:c>
      <x:c r="C141" s="3" t="str">
        <x:v>Workflow 覆盖默认时区</x:v>
      </x:c>
      <x:c r="D141" s="3" t="str">
        <x:v>P1</x:v>
      </x:c>
      <x:c r="E141" s="3" t="str">
        <x:v>边界</x:v>
      </x:c>
      <x:c r="F141" s="3" t="str">
        <x:v>DB + Worker + 可控时钟</x:v>
      </x:c>
      <x:c r="G141" s="3" t="str">
        <x:v>测试 Worker 可控制时钟；A 启用且有可用 Workflow；禁用真实外部写操作。</x:v>
      </x:c>
      <x:c r="H141" s="3" t="str">
        <x:v>A=Asia/Shanghai，Schedule=UTC</x:v>
      </x:c>
      <x:c r="I141" s="3" t="str">
        <x:v>1. 保存每日 09:00 UTC
2. 对比当地时间和实际触发</x:v>
      </x:c>
      <x:c r="J141" s="3" t="str">
        <x:v>1. 明确按 Workflow 时区触发
2. 不混用个人时区</x:v>
      </x:c>
      <x:c r="K141" s="3" t="str">
        <x:v>S01;S09</x:v>
      </x:c>
      <x:c r="L141" s="3" t="str">
        <x:v>实现路径存在，待执行验收</x:v>
      </x:c>
      <x:c r="M141" s="12" t="str">
        <x:v>未执行</x:v>
      </x:c>
      <x:c r="N141" s="12" t="str"/>
      <x:c r="O141" s="12" t="str"/>
      <x:c r="P141" s="12" t="str"/>
    </x:row>
    <x:row r="142" ht="42" customHeight="1">
      <x:c r="A142" s="3" t="str">
        <x:v>SCH-005</x:v>
      </x:c>
      <x:c r="B142" s="3" t="str">
        <x:v>定时触发</x:v>
      </x:c>
      <x:c r="C142" s="3" t="str">
        <x:v>停用和删除计划</x:v>
      </x:c>
      <x:c r="D142" s="3" t="str">
        <x:v>P1</x:v>
      </x:c>
      <x:c r="E142" s="3" t="str">
        <x:v>状态</x:v>
      </x:c>
      <x:c r="F142" s="3" t="str">
        <x:v>DB + Worker + 可控时钟</x:v>
      </x:c>
      <x:c r="G142" s="3" t="str">
        <x:v>测试 Worker 可控制时钟；A 启用且有可用 Workflow；禁用真实外部写操作。</x:v>
      </x:c>
      <x:c r="H142" s="3" t="str">
        <x:v>已启用的小时计划</x:v>
      </x:c>
      <x:c r="I142" s="3" t="str">
        <x:v>1. 关闭计划或移除计划
2. 推进下一触发时刻</x:v>
      </x:c>
      <x:c r="J142" s="3" t="str">
        <x:v>1. 不再创建新的 scheduled Run
2. 历史保留</x:v>
      </x:c>
      <x:c r="K142" s="3" t="str">
        <x:v>S01;S09</x:v>
      </x:c>
      <x:c r="L142" s="3" t="str">
        <x:v>实现路径存在，待执行验收</x:v>
      </x:c>
      <x:c r="M142" s="12" t="str">
        <x:v>未执行</x:v>
      </x:c>
      <x:c r="N142" s="12" t="str"/>
      <x:c r="O142" s="12" t="str"/>
      <x:c r="P142" s="12" t="str"/>
    </x:row>
    <x:row r="143" ht="57" customHeight="1">
      <x:c r="A143" s="3" t="str">
        <x:v>SCH-006</x:v>
      </x:c>
      <x:c r="B143" s="3" t="str">
        <x:v>定时触发</x:v>
      </x:c>
      <x:c r="C143" s="3" t="str">
        <x:v>修改计划生效</x:v>
      </x:c>
      <x:c r="D143" s="3" t="str">
        <x:v>P1</x:v>
      </x:c>
      <x:c r="E143" s="3" t="str">
        <x:v>状态</x:v>
      </x:c>
      <x:c r="F143" s="3" t="str">
        <x:v>DB + Worker + 可控时钟</x:v>
      </x:c>
      <x:c r="G143" s="3" t="str">
        <x:v>测试 Worker 可控制时钟；A 启用且有可用 Workflow；禁用真实外部写操作。</x:v>
      </x:c>
      <x:c r="H143" s="3" t="str">
        <x:v>09:00 改为 10:00</x:v>
      </x:c>
      <x:c r="I143" s="3" t="str">
        <x:v>1. 保存修改
2. 推进旧/新触发时间
3. 检查历史</x:v>
      </x:c>
      <x:c r="J143" s="3" t="str">
        <x:v>1. 新计划生效
2. 旧计划不继续产生执行</x:v>
      </x:c>
      <x:c r="K143" s="3" t="str">
        <x:v>S01;S09</x:v>
      </x:c>
      <x:c r="L143" s="3" t="str">
        <x:v>实现路径存在，待执行验收</x:v>
      </x:c>
      <x:c r="M143" s="12" t="str">
        <x:v>未执行</x:v>
      </x:c>
      <x:c r="N143" s="12" t="str"/>
      <x:c r="O143" s="12" t="str"/>
      <x:c r="P143" s="12" t="str"/>
    </x:row>
    <x:row r="144" ht="57" customHeight="1">
      <x:c r="A144" s="3" t="str">
        <x:v>SCH-007</x:v>
      </x:c>
      <x:c r="B144" s="3" t="str">
        <x:v>定时触发</x:v>
      </x:c>
      <x:c r="C144" s="3" t="str">
        <x:v>同 Workflow 活动任务阻塞计划</x:v>
      </x:c>
      <x:c r="D144" s="3" t="str">
        <x:v>P0</x:v>
      </x:c>
      <x:c r="E144" s="3" t="str">
        <x:v>并发</x:v>
      </x:c>
      <x:c r="F144" s="3" t="str">
        <x:v>DB + Worker + 可控时钟</x:v>
      </x:c>
      <x:c r="G144" s="3" t="str">
        <x:v>测试 Worker 可控制时钟；A 启用且有可用 Workflow；禁用真实外部写操作。</x:v>
      </x:c>
      <x:c r="H144" s="3" t="str">
        <x:v>计划时刻 W1 已有运行中手动 Run</x:v>
      </x:c>
      <x:c r="I144" s="3" t="str">
        <x:v>1. 推进到计划时刻
2. 结束前一轮
3. 观察队列</x:v>
      </x:c>
      <x:c r="J144" s="3" t="str">
        <x:v>1. 定时 Run 排队
2. 不与活动 Run 同时修改 Workspace</x:v>
      </x:c>
      <x:c r="K144" s="3" t="str">
        <x:v>S01;S09</x:v>
      </x:c>
      <x:c r="L144" s="3" t="str">
        <x:v>实现路径存在，待执行验收</x:v>
      </x:c>
      <x:c r="M144" s="12" t="str">
        <x:v>未执行</x:v>
      </x:c>
      <x:c r="N144" s="12" t="str"/>
      <x:c r="O144" s="12" t="str"/>
      <x:c r="P144" s="12" t="str"/>
    </x:row>
    <x:row r="145" ht="42" customHeight="1">
      <x:c r="A145" s="3" t="str">
        <x:v>SCH-008</x:v>
      </x:c>
      <x:c r="B145" s="3" t="str">
        <x:v>定时触发</x:v>
      </x:c>
      <x:c r="C145" s="3" t="str">
        <x:v>积分不足仍保留失败记录</x:v>
      </x:c>
      <x:c r="D145" s="3" t="str">
        <x:v>P0</x:v>
      </x:c>
      <x:c r="E145" s="3" t="str">
        <x:v>异常</x:v>
      </x:c>
      <x:c r="F145" s="3" t="str">
        <x:v>DB + Worker + 可控时钟</x:v>
      </x:c>
      <x:c r="G145" s="3" t="str">
        <x:v>测试 Worker 可控制时钟；A 启用且有可用 Workflow；禁用真实外部写操作。</x:v>
      </x:c>
      <x:c r="H145" s="3" t="str">
        <x:v>A balance&lt;=0</x:v>
      </x:c>
      <x:c r="I145" s="3" t="str">
        <x:v>1. 推进到计划时间
2. 查看 Run 与积分账本</x:v>
      </x:c>
      <x:c r="J145" s="3" t="str">
        <x:v>1. 创建明确失败且不收费的 scheduled Run
2. 不会无记录地忽略该次触发</x:v>
      </x:c>
      <x:c r="K145" s="3" t="str">
        <x:v>S01;S09</x:v>
      </x:c>
      <x:c r="L145" s="3" t="str">
        <x:v>实现路径存在，待执行验收</x:v>
      </x:c>
      <x:c r="M145" s="12" t="str">
        <x:v>未执行</x:v>
      </x:c>
      <x:c r="N145" s="12" t="str"/>
      <x:c r="O145" s="12" t="str"/>
      <x:c r="P145" s="12" t="str"/>
    </x:row>
    <x:row r="146" ht="57" customHeight="1">
      <x:c r="A146" s="3" t="str">
        <x:v>SCH-009</x:v>
      </x:c>
      <x:c r="B146" s="3" t="str">
        <x:v>定时触发</x:v>
      </x:c>
      <x:c r="C146" s="3" t="str">
        <x:v>依赖不可用的计划失败</x:v>
      </x:c>
      <x:c r="D146" s="3" t="str">
        <x:v>P0</x:v>
      </x:c>
      <x:c r="E146" s="3" t="str">
        <x:v>异常</x:v>
      </x:c>
      <x:c r="F146" s="3" t="str">
        <x:v>DB + Worker + 可控时钟</x:v>
      </x:c>
      <x:c r="G146" s="3" t="str">
        <x:v>测试 Worker 可控制时钟；A 启用且有可用 Workflow；禁用真实外部写操作。</x:v>
      </x:c>
      <x:c r="H146" s="3" t="str">
        <x:v>专家不完整、资源失效、Runtime unavailable 各一组</x:v>
      </x:c>
      <x:c r="I146" s="3" t="str">
        <x:v>1. 逐组触发计划
2. 核对错误与模型调用</x:v>
      </x:c>
      <x:c r="J146" s="3" t="str">
        <x:v>1. 失败记录指出依赖
2. 模型未调用且不扣费
3. 不会静默替换资源</x:v>
      </x:c>
      <x:c r="K146" s="3" t="str">
        <x:v>S01;S09</x:v>
      </x:c>
      <x:c r="L146" s="3" t="str">
        <x:v>实现路径存在，待执行验收</x:v>
      </x:c>
      <x:c r="M146" s="12" t="str">
        <x:v>未执行</x:v>
      </x:c>
      <x:c r="N146" s="12" t="str"/>
      <x:c r="O146" s="12" t="str"/>
      <x:c r="P146" s="12" t="str"/>
    </x:row>
    <x:row r="147" ht="42" customHeight="1">
      <x:c r="A147" s="3" t="str">
        <x:v>SCH-010</x:v>
      </x:c>
      <x:c r="B147" s="3" t="str">
        <x:v>定时触发</x:v>
      </x:c>
      <x:c r="C147" s="3" t="str">
        <x:v>账号停用与 Workflow 删除终止计划</x:v>
      </x:c>
      <x:c r="D147" s="3" t="str">
        <x:v>P0</x:v>
      </x:c>
      <x:c r="E147" s="3" t="str">
        <x:v>权限</x:v>
      </x:c>
      <x:c r="F147" s="3" t="str">
        <x:v>DB + Worker + 可控时钟</x:v>
      </x:c>
      <x:c r="G147" s="3" t="str">
        <x:v>测试 Worker 可控制时钟；A 启用且有可用 Workflow；禁用真实外部写操作。</x:v>
      </x:c>
      <x:c r="H147" s="3" t="str">
        <x:v>启用计划的 W1</x:v>
      </x:c>
      <x:c r="I147" s="3" t="str">
        <x:v>1. 分别停用 owner 和删除测试 Workflow
2. 推进时间</x:v>
      </x:c>
      <x:c r="J147" s="3" t="str">
        <x:v>1. 停止未来调度
2. 已删除对象不会重新出现或启动</x:v>
      </x:c>
      <x:c r="K147" s="3" t="str">
        <x:v>S01;S09</x:v>
      </x:c>
      <x:c r="L147" s="3" t="str">
        <x:v>实现路径存在，待执行验收</x:v>
      </x:c>
      <x:c r="M147" s="12" t="str">
        <x:v>未执行</x:v>
      </x:c>
      <x:c r="N147" s="12" t="str"/>
      <x:c r="O147" s="12" t="str"/>
      <x:c r="P147" s="12" t="str"/>
    </x:row>
    <x:row r="148" ht="42" customHeight="1">
      <x:c r="A148" s="3" t="str">
        <x:v>SCH-011</x:v>
      </x:c>
      <x:c r="B148" s="3" t="str">
        <x:v>定时触发</x:v>
      </x:c>
      <x:c r="C148" s="3" t="str">
        <x:v>重复扫描不重复触发</x:v>
      </x:c>
      <x:c r="D148" s="3" t="str">
        <x:v>P0</x:v>
      </x:c>
      <x:c r="E148" s="3" t="str">
        <x:v>幂等</x:v>
      </x:c>
      <x:c r="F148" s="3" t="str">
        <x:v>DB + Worker + 可控时钟</x:v>
      </x:c>
      <x:c r="G148" s="3" t="str">
        <x:v>测试 Worker 可控制时钟；A 启用且有可用 Workflow；禁用真实外部写操作。</x:v>
      </x:c>
      <x:c r="H148" s="3" t="str">
        <x:v>两个 Worker 同时扫描同一 due schedule</x:v>
      </x:c>
      <x:c r="I148" s="3" t="str">
        <x:v>1. 在同触发时刻并发扫描
2. 查询 scheduled Run</x:v>
      </x:c>
      <x:c r="J148" s="3" t="str">
        <x:v>1. 同一计划时刻不产生重复执行
2. 失败重试不重复扣费</x:v>
      </x:c>
      <x:c r="K148" s="3" t="str">
        <x:v>S01;S09</x:v>
      </x:c>
      <x:c r="L148" s="3" t="str">
        <x:v>实现路径存在，待执行验收</x:v>
      </x:c>
      <x:c r="M148" s="12" t="str">
        <x:v>未执行</x:v>
      </x:c>
      <x:c r="N148" s="12" t="str">
        <x:v>部分步骤证据：E2E-032 阻塞。完整结果见“E2E执行”。未执行全部原用例步骤，不据此标记整条通过。</x:v>
      </x:c>
      <x:c r="O148" s="12" t="str"/>
      <x:c r="P148" s="12" t="str">
        <x:v>Codex / 2026-09-06 17:21 Asia/Shanghai</x:v>
      </x:c>
    </x:row>
    <x:row r="149" ht="42" customHeight="1">
      <x:c r="A149" s="3" t="str">
        <x:v>SCH-012</x:v>
      </x:c>
      <x:c r="B149" s="3" t="str">
        <x:v>定时触发</x:v>
      </x:c>
      <x:c r="C149" s="3" t="str">
        <x:v>非法计划值拒绝</x:v>
      </x:c>
      <x:c r="D149" s="3" t="str">
        <x:v>P1</x:v>
      </x:c>
      <x:c r="E149" s="3" t="str">
        <x:v>边界</x:v>
      </x:c>
      <x:c r="F149" s="3" t="str">
        <x:v>DB + Worker + 可控时钟</x:v>
      </x:c>
      <x:c r="G149" s="3" t="str">
        <x:v>测试 Worker 可控制时钟；A 启用且有可用 Workflow；禁用真实外部写操作。</x:v>
      </x:c>
      <x:c r="H149" s="3" t="str">
        <x:v>未知时区、非法频率、越界时分与星期</x:v>
      </x:c>
      <x:c r="I149" s="3" t="str">
        <x:v>1. 分别提交计划配置
2. 重新读取 Workflow</x:v>
      </x:c>
      <x:c r="J149" s="3" t="str">
        <x:v>1. 拒绝非法值
2. 已有有效计划不被破坏</x:v>
      </x:c>
      <x:c r="K149" s="3" t="str">
        <x:v>S01;S09</x:v>
      </x:c>
      <x:c r="L149" s="3" t="str">
        <x:v>实现路径存在，待执行验收</x:v>
      </x:c>
      <x:c r="M149" s="12" t="str">
        <x:v>未执行</x:v>
      </x:c>
      <x:c r="N149" s="12" t="str"/>
      <x:c r="O149" s="12" t="str"/>
      <x:c r="P149" s="12" t="str"/>
    </x:row>
    <x:row r="150" ht="57" customHeight="1">
      <x:c r="A150" s="3" t="str">
        <x:v>WSP-001</x:v>
      </x:c>
      <x:c r="B150" s="3" t="str">
        <x:v>Workspace 与 Git</x:v>
      </x:c>
      <x:c r="C150" s="3" t="str">
        <x:v>只读目录树浏览</x:v>
      </x:c>
      <x:c r="D150" s="3" t="str">
        <x:v>P0</x:v>
      </x:c>
      <x:c r="E150" s="3" t="str">
        <x:v>正向</x:v>
      </x:c>
      <x:c r="F150" s="3" t="str">
        <x:v>Web + API + 文件系统；Git 集成用测试仓库</x:v>
      </x:c>
      <x:c r="G150" s="3" t="str">
        <x:v>A/B 各有 Workflow；准备空/非空 Workspace、公开 HTTPS 和测试私有仓库；SSH known_hosts 由测试管理员预置。</x:v>
      </x:c>
      <x:c r="H150" s="3" t="str">
        <x:v>Workspace 有 docs/a.txt 和空目录</x:v>
      </x:c>
      <x:c r="I150" s="3" t="str">
        <x:v>1. 打开 Workspace 标签
2. 展开收起目录
3. 刷新</x:v>
      </x:c>
      <x:c r="J150" s="3" t="str">
        <x:v>1. 目录文件层级和大小正确
2. 不提供上传、建目录、编辑、移动或删除控件</x:v>
      </x:c>
      <x:c r="K150" s="3" t="str">
        <x:v>S01;S09;S10;S23</x:v>
      </x:c>
      <x:c r="L150" s="3" t="str">
        <x:v>实现路径存在，待执行验收</x:v>
      </x:c>
      <x:c r="M150" s="12" t="str">
        <x:v>未执行</x:v>
      </x:c>
      <x:c r="N150" s="12" t="str">
        <x:v>部分步骤证据：E2E-016 通过。完整结果见“E2E执行”。未执行全部原用例步骤，不据此标记整条通过。</x:v>
      </x:c>
      <x:c r="O150" s="12" t="str"/>
      <x:c r="P150" s="12" t="str">
        <x:v>Codex / 2026-09-06 17:21 Asia/Shanghai</x:v>
      </x:c>
    </x:row>
    <x:row r="151" ht="57" customHeight="1">
      <x:c r="A151" s="3" t="str">
        <x:v>WSP-002</x:v>
      </x:c>
      <x:c r="B151" s="3" t="str">
        <x:v>Workspace 与 Git</x:v>
      </x:c>
      <x:c r="C151" s="3" t="str">
        <x:v>文本预览边界</x:v>
      </x:c>
      <x:c r="D151" s="3" t="str">
        <x:v>P1</x:v>
      </x:c>
      <x:c r="E151" s="3" t="str">
        <x:v>边界</x:v>
      </x:c>
      <x:c r="F151" s="3" t="str">
        <x:v>Web + API + 文件系统；Git 集成用测试仓库</x:v>
      </x:c>
      <x:c r="G151" s="3" t="str">
        <x:v>A/B 各有 Workflow；准备空/非空 Workspace、公开 HTTPS 和测试私有仓库；SSH known_hosts 由测试管理员预置。</x:v>
      </x:c>
      <x:c r="H151" s="3" t="str">
        <x:v>1048576 与 1048577 字节文本</x:v>
      </x:c>
      <x:c r="I151" s="3" t="str">
        <x:v>1. 分别打开预览
2. 尝试下载</x:v>
      </x:c>
      <x:c r="J151" s="3" t="str">
        <x:v>1. 1 MiB 内可预览
2. 超限不给超大内联预览
3. 仍按权限允许下载</x:v>
      </x:c>
      <x:c r="K151" s="3" t="str">
        <x:v>S01;S09;S10;S23</x:v>
      </x:c>
      <x:c r="L151" s="3" t="str">
        <x:v>实现路径存在，待执行验收</x:v>
      </x:c>
      <x:c r="M151" s="12" t="str">
        <x:v>未执行</x:v>
      </x:c>
      <x:c r="N151" s="12" t="str"/>
      <x:c r="O151" s="12" t="str"/>
      <x:c r="P151" s="12" t="str"/>
    </x:row>
    <x:row r="152" ht="57" customHeight="1">
      <x:c r="A152" s="3" t="str">
        <x:v>WSP-003</x:v>
      </x:c>
      <x:c r="B152" s="3" t="str">
        <x:v>Workspace 与 Git</x:v>
      </x:c>
      <x:c r="C152" s="3" t="str">
        <x:v>二进制下载</x:v>
      </x:c>
      <x:c r="D152" s="3" t="str">
        <x:v>P1</x:v>
      </x:c>
      <x:c r="E152" s="3" t="str">
        <x:v>正向</x:v>
      </x:c>
      <x:c r="F152" s="3" t="str">
        <x:v>Web + API + 文件系统；Git 集成用测试仓库</x:v>
      </x:c>
      <x:c r="G152" s="3" t="str">
        <x:v>A/B 各有 Workflow；准备空/非空 Workspace、公开 HTTPS 和测试私有仓库；SSH known_hosts 由测试管理员预置。</x:v>
      </x:c>
      <x:c r="H152" s="3" t="str">
        <x:v>已知 SHA-256 的 image.bin</x:v>
      </x:c>
      <x:c r="I152" s="3" t="str">
        <x:v>1. 从目录树下载
2. 对比文件名、大小及 SHA-256</x:v>
      </x:c>
      <x:c r="J152" s="3" t="str">
        <x:v>1. 下载真实字节
2. 不把二进制当普通文本展示
3. Content-Disposition 安全</x:v>
      </x:c>
      <x:c r="K152" s="3" t="str">
        <x:v>S01;S09;S10;S23</x:v>
      </x:c>
      <x:c r="L152" s="3" t="str">
        <x:v>实现路径存在，待执行验收</x:v>
      </x:c>
      <x:c r="M152" s="12" t="str">
        <x:v>未执行</x:v>
      </x:c>
      <x:c r="N152" s="12" t="str"/>
      <x:c r="O152" s="12" t="str"/>
      <x:c r="P152" s="12" t="str"/>
    </x:row>
    <x:row r="153" ht="57" customHeight="1">
      <x:c r="A153" s="3" t="str">
        <x:v>WSP-004</x:v>
      </x:c>
      <x:c r="B153" s="3" t="str">
        <x:v>Workspace 与 Git</x:v>
      </x:c>
      <x:c r="C153" s="3" t="str">
        <x:v>Workspace 路径穿越拒绝</x:v>
      </x:c>
      <x:c r="D153" s="3" t="str">
        <x:v>P0</x:v>
      </x:c>
      <x:c r="E153" s="3" t="str">
        <x:v>安全</x:v>
      </x:c>
      <x:c r="F153" s="3" t="str">
        <x:v>Web + API + 文件系统；Git 集成用测试仓库</x:v>
      </x:c>
      <x:c r="G153" s="3" t="str">
        <x:v>A/B 各有 Workflow；准备空/非空 Workspace、公开 HTTPS 和测试私有仓库；SSH known_hosts 由测试管理员预置。</x:v>
      </x:c>
      <x:c r="H153" s="3" t="str">
        <x:v>../、绝对路径、编码穿越和根外 symlink</x:v>
      </x:c>
      <x:c r="I153" s="3" t="str">
        <x:v>1. 调用列表、预览、下载及引用接口
2. 检查返回</x:v>
      </x:c>
      <x:c r="J153" s="3" t="str">
        <x:v>1. 不能逃出当前 Workspace
2. 不泄漏宿主文件
3. 路径拒绝一致</x:v>
      </x:c>
      <x:c r="K153" s="3" t="str">
        <x:v>S01;S09;S10;S23</x:v>
      </x:c>
      <x:c r="L153" s="3" t="str">
        <x:v>实现路径存在，待执行验收</x:v>
      </x:c>
      <x:c r="M153" s="12" t="str">
        <x:v>未执行</x:v>
      </x:c>
      <x:c r="N153" s="12" t="str">
        <x:v>部分步骤证据：E2E-016 通过。完整结果见“E2E执行”。未执行全部原用例步骤，不据此标记整条通过。</x:v>
      </x:c>
      <x:c r="O153" s="12" t="str"/>
      <x:c r="P153" s="12" t="str">
        <x:v>Codex / 2026-09-06 17:21 Asia/Shanghai</x:v>
      </x:c>
    </x:row>
    <x:row r="154" ht="57" customHeight="1">
      <x:c r="A154" s="3" t="str">
        <x:v>WSP-005</x:v>
      </x:c>
      <x:c r="B154" s="3" t="str">
        <x:v>Workspace 与 Git</x:v>
      </x:c>
      <x:c r="C154" s="3" t="str">
        <x:v>1 GiB 持久化配额</x:v>
      </x:c>
      <x:c r="D154" s="3" t="str">
        <x:v>P0</x:v>
      </x:c>
      <x:c r="E154" s="3" t="str">
        <x:v>边界</x:v>
      </x:c>
      <x:c r="F154" s="3" t="str">
        <x:v>Web + API + 文件系统；Git 集成用测试仓库</x:v>
      </x:c>
      <x:c r="G154" s="3" t="str">
        <x:v>A/B 各有 Workflow；准备空/非空 Workspace、公开 HTTPS 和测试私有仓库；SSH known_hosts 由测试管理员预置。</x:v>
      </x:c>
      <x:c r="H154" s="3" t="str">
        <x:v>总量 1073741824 与超出 1 字节</x:v>
      </x:c>
      <x:c r="I154" s="3" t="str">
        <x:v>1. 在测试 Run 中生成边界文件集合
2. 完成执行并合并</x:v>
      </x:c>
      <x:c r="J154" s="3" t="str">
        <x:v>1. 满足配额可安全提交
2. 超限失败且旧 Workspace 保持完整</x:v>
      </x:c>
      <x:c r="K154" s="3" t="str">
        <x:v>S01;S09;S10;S23</x:v>
      </x:c>
      <x:c r="L154" s="3" t="str">
        <x:v>实现路径存在，待执行验收</x:v>
      </x:c>
      <x:c r="M154" s="12" t="str">
        <x:v>未执行</x:v>
      </x:c>
      <x:c r="N154" s="12" t="str"/>
      <x:c r="O154" s="12" t="str"/>
      <x:c r="P154" s="12" t="str"/>
    </x:row>
    <x:row r="155" ht="57" customHeight="1">
      <x:c r="A155" s="3" t="str">
        <x:v>WSP-006</x:v>
      </x:c>
      <x:c r="B155" s="3" t="str">
        <x:v>Workspace 与 Git</x:v>
      </x:c>
      <x:c r="C155" s="3" t="str">
        <x:v>成功合并可被下一 Run 读取</x:v>
      </x:c>
      <x:c r="D155" s="3" t="str">
        <x:v>P0</x:v>
      </x:c>
      <x:c r="E155" s="3" t="str">
        <x:v>状态</x:v>
      </x:c>
      <x:c r="F155" s="3" t="str">
        <x:v>Web + API + 文件系统；Git 集成用测试仓库</x:v>
      </x:c>
      <x:c r="G155" s="3" t="str">
        <x:v>A/B 各有 Workflow；准备空/非空 Workspace、公开 HTTPS 和测试私有仓库；SSH known_hosts 由测试管理员预置。</x:v>
      </x:c>
      <x:c r="H155" s="3" t="str">
        <x:v>Run1 写 state.txt=v1，Run2 读取</x:v>
      </x:c>
      <x:c r="I155" s="3" t="str">
        <x:v>1. 串行执行两轮
2. 查看持久 Workspace</x:v>
      </x:c>
      <x:c r="J155" s="3" t="str">
        <x:v>1. 仅 Run1 成功后原子推进
2. Run2 读取 v1
3. 平台仍有权限预览生成文件</x:v>
      </x:c>
      <x:c r="K155" s="3" t="str">
        <x:v>S01;S09;S10;S23</x:v>
      </x:c>
      <x:c r="L155" s="3" t="str">
        <x:v>实现路径存在，待执行验收</x:v>
      </x:c>
      <x:c r="M155" s="12" t="str">
        <x:v>未执行</x:v>
      </x:c>
      <x:c r="N155" s="12" t="str"/>
      <x:c r="O155" s="12" t="str"/>
      <x:c r="P155" s="12" t="str"/>
    </x:row>
    <x:row r="156" ht="57" customHeight="1">
      <x:c r="A156" s="3" t="str">
        <x:v>WSP-007</x:v>
      </x:c>
      <x:c r="B156" s="3" t="str">
        <x:v>Workspace 与 Git</x:v>
      </x:c>
      <x:c r="C156" s="3" t="str">
        <x:v>失败和取消丢弃临时更改</x:v>
      </x:c>
      <x:c r="D156" s="3" t="str">
        <x:v>P0</x:v>
      </x:c>
      <x:c r="E156" s="3" t="str">
        <x:v>状态</x:v>
      </x:c>
      <x:c r="F156" s="3" t="str">
        <x:v>Web + API + 文件系统；Git 集成用测试仓库</x:v>
      </x:c>
      <x:c r="G156" s="3" t="str">
        <x:v>A/B 各有 Workflow；准备空/非空 Workspace、公开 HTTPS 和测试私有仓库；SSH known_hosts 由测试管理员预置。</x:v>
      </x:c>
      <x:c r="H156" s="3" t="str">
        <x:v>旧 state.txt=v0；执行改成 v1</x:v>
      </x:c>
      <x:c r="I156" s="3" t="str">
        <x:v>1. 分别使 Run 失败和取消
2. 读取持久文件</x:v>
      </x:c>
      <x:c r="J156" s="3" t="str">
        <x:v>1. 仍为 v0
2. 没有临时文件混入
3. 失败/取消不生成成功 Artifact</x:v>
      </x:c>
      <x:c r="K156" s="3" t="str">
        <x:v>S01;S09;S10;S23</x:v>
      </x:c>
      <x:c r="L156" s="3" t="str">
        <x:v>实现路径存在，待执行验收</x:v>
      </x:c>
      <x:c r="M156" s="12" t="str">
        <x:v>未执行</x:v>
      </x:c>
      <x:c r="N156" s="12" t="str"/>
      <x:c r="O156" s="12" t="str"/>
      <x:c r="P156" s="12" t="str"/>
    </x:row>
    <x:row r="157" ht="57" customHeight="1">
      <x:c r="A157" s="3" t="str">
        <x:v>WSP-008</x:v>
      </x:c>
      <x:c r="B157" s="3" t="str">
        <x:v>Workspace 与 Git</x:v>
      </x:c>
      <x:c r="C157" s="3" t="str">
        <x:v>公共 HTTPS 克隆</x:v>
      </x:c>
      <x:c r="D157" s="3" t="str">
        <x:v>P0</x:v>
      </x:c>
      <x:c r="E157" s="3" t="str">
        <x:v>正向</x:v>
      </x:c>
      <x:c r="F157" s="3" t="str">
        <x:v>Web + API + 文件系统；Git 集成用测试仓库</x:v>
      </x:c>
      <x:c r="G157" s="3" t="str">
        <x:v>A/B 各有 Workflow；准备空/非空 Workspace、公开 HTTPS 和测试私有仓库；SSH known_hosts 由测试管理员预置。</x:v>
      </x:c>
      <x:c r="H157" s="3" t="str">
        <x:v>空 Workspace；公开 HTTPS URL 和有效 branch</x:v>
      </x:c>
      <x:c r="I157" s="3" t="str">
        <x:v>1. 在 Git Settings 保存并克隆
2. 查看反馈与目录树</x:v>
      </x:c>
      <x:c r="J157" s="3" t="str">
        <x:v>1. 按指定源初始化根目录
2. 配置入口位于 Git Settings
3. 无额外仓库绑定流程</x:v>
      </x:c>
      <x:c r="K157" s="3" t="str">
        <x:v>S01;S09;S10;S23</x:v>
      </x:c>
      <x:c r="L157" s="3" t="str">
        <x:v>实现路径存在，待执行验收</x:v>
      </x:c>
      <x:c r="M157" s="12" t="str">
        <x:v>未执行</x:v>
      </x:c>
      <x:c r="N157" s="12" t="str"/>
      <x:c r="O157" s="12" t="str"/>
      <x:c r="P157" s="12" t="str"/>
    </x:row>
    <x:row r="158" ht="57" customHeight="1">
      <x:c r="A158" s="3" t="str">
        <x:v>WSP-009</x:v>
      </x:c>
      <x:c r="B158" s="3" t="str">
        <x:v>Workspace 与 Git</x:v>
      </x:c>
      <x:c r="C158" s="3" t="str">
        <x:v>HTTPS 账号或 Token 克隆</x:v>
      </x:c>
      <x:c r="D158" s="3" t="str">
        <x:v>P0</x:v>
      </x:c>
      <x:c r="E158" s="3" t="str">
        <x:v>安全</x:v>
      </x:c>
      <x:c r="F158" s="3" t="str">
        <x:v>Web + API + 文件系统；Git 集成用测试仓库</x:v>
      </x:c>
      <x:c r="G158" s="3" t="str">
        <x:v>A/B 各有 Workflow；准备空/非空 Workspace、公开 HTTPS 和测试私有仓库；SSH known_hosts 由测试管理员预置。</x:v>
      </x:c>
      <x:c r="H158" s="3" t="str">
        <x:v>私有 HTTPS 仓库与测试用户名/密码或 Token</x:v>
      </x:c>
      <x:c r="I158" s="3" t="str">
        <x:v>1. 填写凭据保存并克隆
2. 重开设置
3. 检查命令和日志</x:v>
      </x:c>
      <x:c r="J158" s="3" t="str">
        <x:v>1. 克隆成功
2. 凭据只写不回显
3. 不进入 URL、argv、日志或持久普通配置</x:v>
      </x:c>
      <x:c r="K158" s="3" t="str">
        <x:v>S01;S09;S10;S23</x:v>
      </x:c>
      <x:c r="L158" s="3" t="str">
        <x:v>实现路径存在，待执行验收</x:v>
      </x:c>
      <x:c r="M158" s="12" t="str">
        <x:v>未执行</x:v>
      </x:c>
      <x:c r="N158" s="12" t="str"/>
      <x:c r="O158" s="12" t="str"/>
      <x:c r="P158" s="12" t="str"/>
    </x:row>
    <x:row r="159" ht="57" customHeight="1">
      <x:c r="A159" s="3" t="str">
        <x:v>WSP-010</x:v>
      </x:c>
      <x:c r="B159" s="3" t="str">
        <x:v>Workspace 与 Git</x:v>
      </x:c>
      <x:c r="C159" s="3" t="str">
        <x:v>SSH 私钥及 pinned known_hosts</x:v>
      </x:c>
      <x:c r="D159" s="3" t="str">
        <x:v>P0</x:v>
      </x:c>
      <x:c r="E159" s="3" t="str">
        <x:v>安全</x:v>
      </x:c>
      <x:c r="F159" s="3" t="str">
        <x:v>Web + API + 文件系统；Git 集成用测试仓库</x:v>
      </x:c>
      <x:c r="G159" s="3" t="str">
        <x:v>A/B 各有 Workflow；准备空/非空 Workspace、公开 HTTPS 和测试私有仓库；SSH known_hosts 由测试管理员预置。</x:v>
      </x:c>
      <x:c r="H159" s="3" t="str">
        <x:v>私有 SSH 仓库、测试私钥和已知主机 Key</x:v>
      </x:c>
      <x:c r="I159" s="3" t="str">
        <x:v>1. 填写私钥保存克隆
2. 对比仓库文件
3. 检查临时 HOME 清理</x:v>
      </x:c>
      <x:c r="J159" s="3" t="str">
        <x:v>1. 采用固定主机校验
2. SSH 配置和私钥只在隔离临时 HOME
3. 尝试结束后清理</x:v>
      </x:c>
      <x:c r="K159" s="3" t="str">
        <x:v>S01;S09;S10;S23</x:v>
      </x:c>
      <x:c r="L159" s="3" t="str">
        <x:v>实现路径存在，待执行验收</x:v>
      </x:c>
      <x:c r="M159" s="12" t="str">
        <x:v>未执行</x:v>
      </x:c>
      <x:c r="N159" s="12" t="str"/>
      <x:c r="O159" s="12" t="str"/>
      <x:c r="P159" s="12" t="str"/>
    </x:row>
    <x:row r="160" ht="57" customHeight="1">
      <x:c r="A160" s="3" t="str">
        <x:v>WSP-011</x:v>
      </x:c>
      <x:c r="B160" s="3" t="str">
        <x:v>Workspace 与 Git</x:v>
      </x:c>
      <x:c r="C160" s="3" t="str">
        <x:v>SSH Host 别名与安全配置</x:v>
      </x:c>
      <x:c r="D160" s="3" t="str">
        <x:v>P1</x:v>
      </x:c>
      <x:c r="E160" s="3" t="str">
        <x:v>正向</x:v>
      </x:c>
      <x:c r="F160" s="3" t="str">
        <x:v>Web + API + 文件系统；Git 集成用测试仓库</x:v>
      </x:c>
      <x:c r="G160" s="3" t="str">
        <x:v>A/B 各有 Workflow；准备空/非空 Workspace、公开 HTTPS 和测试私有仓库；SSH known_hosts 由测试管理员预置。</x:v>
      </x:c>
      <x:c r="H160" s="3" t="str">
        <x:v>精确 Host alias，HostName、User、Port、IdentityFile 等 allowlist</x:v>
      </x:c>
      <x:c r="I160" s="3" t="str">
        <x:v>1. 保存工作流独立 SSH config
2. 执行克隆
3. 检查宿主 SSH 配置</x:v>
      </x:c>
      <x:c r="J160" s="3" t="str">
        <x:v>1. 使用指定别名及允许字段
2. API 主机原有 SSH 配置不变
3. IdentityFile 在受控位置</x:v>
      </x:c>
      <x:c r="K160" s="3" t="str">
        <x:v>S01;S09;S10;S23</x:v>
      </x:c>
      <x:c r="L160" s="3" t="str">
        <x:v>实现路径存在，待执行验收</x:v>
      </x:c>
      <x:c r="M160" s="12" t="str">
        <x:v>未执行</x:v>
      </x:c>
      <x:c r="N160" s="12" t="str"/>
      <x:c r="O160" s="12" t="str"/>
      <x:c r="P160" s="12" t="str"/>
    </x:row>
    <x:row r="161" ht="57" customHeight="1">
      <x:c r="A161" s="3" t="str">
        <x:v>WSP-012</x:v>
      </x:c>
      <x:c r="B161" s="3" t="str">
        <x:v>Workspace 与 Git</x:v>
      </x:c>
      <x:c r="C161" s="3" t="str">
        <x:v>SSH 危险指令拒绝</x:v>
      </x:c>
      <x:c r="D161" s="3" t="str">
        <x:v>P0</x:v>
      </x:c>
      <x:c r="E161" s="3" t="str">
        <x:v>安全</x:v>
      </x:c>
      <x:c r="F161" s="3" t="str">
        <x:v>Web + API + 文件系统；Git 集成用测试仓库</x:v>
      </x:c>
      <x:c r="G161" s="3" t="str">
        <x:v>A/B 各有 Workflow；准备空/非空 Workspace、公开 HTTPS 和测试私有仓库；SSH known_hosts 由测试管理员预置。</x:v>
      </x:c>
      <x:c r="H161" s="3" t="str">
        <x:v>Host *、Include、Match、ProxyCommand、LocalCommand、任意绝对私钥路径</x:v>
      </x:c>
      <x:c r="I161" s="3" t="str">
        <x:v>1. 逐个保存并克隆
2. 检查进程调用</x:v>
      </x:c>
      <x:c r="J161" s="3" t="str">
        <x:v>1. 非法配置在执行前拒绝
2. 不启动代理或本地命令</x:v>
      </x:c>
      <x:c r="K161" s="3" t="str">
        <x:v>S01;S09;S10;S23</x:v>
      </x:c>
      <x:c r="L161" s="3" t="str">
        <x:v>实现路径存在，待执行验收</x:v>
      </x:c>
      <x:c r="M161" s="12" t="str">
        <x:v>未执行</x:v>
      </x:c>
      <x:c r="N161" s="12" t="str"/>
      <x:c r="O161" s="12" t="str"/>
      <x:c r="P161" s="12" t="str"/>
    </x:row>
    <x:row r="162" ht="57" customHeight="1">
      <x:c r="A162" s="3" t="str">
        <x:v>WSP-013</x:v>
      </x:c>
      <x:c r="B162" s="3" t="str">
        <x:v>Workspace 与 Git</x:v>
      </x:c>
      <x:c r="C162" s="3" t="str">
        <x:v>Git 配置白名单</x:v>
      </x:c>
      <x:c r="D162" s="3" t="str">
        <x:v>P0</x:v>
      </x:c>
      <x:c r="E162" s="3" t="str">
        <x:v>安全</x:v>
      </x:c>
      <x:c r="F162" s="3" t="str">
        <x:v>Web + API + 文件系统；Git 集成用测试仓库</x:v>
      </x:c>
      <x:c r="G162" s="3" t="str">
        <x:v>A/B 各有 Workflow；准备空/非空 Workspace、公开 HTTPS 和测试私有仓库；SSH known_hosts 由测试管理员预置。</x:v>
      </x:c>
      <x:c r="H162" s="3" t="str">
        <x:v>合法有序 key/value；credential.helper、include、url.*.insteadOf、core.sshCommand</x:v>
      </x:c>
      <x:c r="I162" s="3" t="str">
        <x:v>1. 先保存合法配置
2. 逐项替换为危险 key
3. 克隆</x:v>
      </x:c>
      <x:c r="J162" s="3" t="str">
        <x:v>1. 合法顺序保留
2. 危险命令、凭据助手、包含、重写和传输覆盖拒绝</x:v>
      </x:c>
      <x:c r="K162" s="3" t="str">
        <x:v>S01;S09;S10;S23</x:v>
      </x:c>
      <x:c r="L162" s="3" t="str">
        <x:v>实现路径存在，待执行验收</x:v>
      </x:c>
      <x:c r="M162" s="12" t="str">
        <x:v>未执行</x:v>
      </x:c>
      <x:c r="N162" s="12" t="str"/>
      <x:c r="O162" s="12" t="str"/>
      <x:c r="P162" s="12" t="str"/>
    </x:row>
    <x:row r="163" ht="57" customHeight="1">
      <x:c r="A163" s="3" t="str">
        <x:v>WSP-014</x:v>
      </x:c>
      <x:c r="B163" s="3" t="str">
        <x:v>Workspace 与 Git</x:v>
      </x:c>
      <x:c r="C163" s="3" t="str">
        <x:v>非空 Workspace 克隆拒绝</x:v>
      </x:c>
      <x:c r="D163" s="3" t="str">
        <x:v>P0</x:v>
      </x:c>
      <x:c r="E163" s="3" t="str">
        <x:v>安全</x:v>
      </x:c>
      <x:c r="F163" s="3" t="str">
        <x:v>Web + API + 文件系统；Git 集成用测试仓库</x:v>
      </x:c>
      <x:c r="G163" s="3" t="str">
        <x:v>A/B 各有 Workflow；准备空/非空 Workspace、公开 HTTPS 和测试私有仓库；SSH known_hosts 由测试管理员预置。</x:v>
      </x:c>
      <x:c r="H163" s="3" t="str">
        <x:v>已有 important.txt 的 Workspace</x:v>
      </x:c>
      <x:c r="I163" s="3" t="str">
        <x:v>1. 保存新 Git Source 并克隆
2. 查看反馈
3. 下载 important.txt</x:v>
      </x:c>
      <x:c r="J163" s="3" t="str">
        <x:v>1. 返回 git_workspace_not_empty
2. 不自动清空
3. 原文件字节不变</x:v>
      </x:c>
      <x:c r="K163" s="3" t="str">
        <x:v>S01;S09;S10;S23</x:v>
      </x:c>
      <x:c r="L163" s="3" t="str">
        <x:v>实现路径存在，待执行验收</x:v>
      </x:c>
      <x:c r="M163" s="12" t="str">
        <x:v>未执行</x:v>
      </x:c>
      <x:c r="N163" s="12" t="str"/>
      <x:c r="O163" s="12" t="str"/>
      <x:c r="P163" s="12" t="str"/>
    </x:row>
    <x:row r="164" ht="57" customHeight="1">
      <x:c r="A164" s="3" t="str">
        <x:v>WSP-015</x:v>
      </x:c>
      <x:c r="B164" s="3" t="str">
        <x:v>Workspace 与 Git</x:v>
      </x:c>
      <x:c r="C164" s="3" t="str">
        <x:v>未知 SSH 主机与变更 Key</x:v>
      </x:c>
      <x:c r="D164" s="3" t="str">
        <x:v>P0</x:v>
      </x:c>
      <x:c r="E164" s="3" t="str">
        <x:v>异常</x:v>
      </x:c>
      <x:c r="F164" s="3" t="str">
        <x:v>Web + API + 文件系统；Git 集成用测试仓库</x:v>
      </x:c>
      <x:c r="G164" s="3" t="str">
        <x:v>A/B 各有 Workflow；准备空/非空 Workspace、公开 HTTPS 和测试私有仓库；SSH known_hosts 由测试管理员预置。</x:v>
      </x:c>
      <x:c r="H164" s="3" t="str">
        <x:v>known_hosts 无条目或与远端主机 Key 不同</x:v>
      </x:c>
      <x:c r="I164" s="3" t="str">
        <x:v>1. 尝试 SSH 克隆
2. 查看局部错误与目录</x:v>
      </x:c>
      <x:c r="J164" s="3" t="str">
        <x:v>1. 失败并归类 git_ssh_host_untrusted
2. 不关闭 StrictHostKeyChecking
3. 无半成品污染</x:v>
      </x:c>
      <x:c r="K164" s="3" t="str">
        <x:v>S01;S09;S10;S23</x:v>
      </x:c>
      <x:c r="L164" s="3" t="str">
        <x:v>实现路径存在，待执行验收</x:v>
      </x:c>
      <x:c r="M164" s="12" t="str">
        <x:v>未执行</x:v>
      </x:c>
      <x:c r="N164" s="12" t="str"/>
      <x:c r="O164" s="12" t="str"/>
      <x:c r="P164" s="12" t="str"/>
    </x:row>
    <x:row r="165" ht="57" customHeight="1">
      <x:c r="A165" s="3" t="str">
        <x:v>WSP-016</x:v>
      </x:c>
      <x:c r="B165" s="3" t="str">
        <x:v>Workspace 与 Git</x:v>
      </x:c>
      <x:c r="C165" s="3" t="str">
        <x:v>无效私钥与缺少凭据</x:v>
      </x:c>
      <x:c r="D165" s="3" t="str">
        <x:v>P1</x:v>
      </x:c>
      <x:c r="E165" s="3" t="str">
        <x:v>异常</x:v>
      </x:c>
      <x:c r="F165" s="3" t="str">
        <x:v>Web + API + 文件系统；Git 集成用测试仓库</x:v>
      </x:c>
      <x:c r="G165" s="3" t="str">
        <x:v>A/B 各有 Workflow；准备空/非空 Workspace、公开 HTTPS 和测试私有仓库；SSH known_hosts 由测试管理员预置。</x:v>
      </x:c>
      <x:c r="H165" s="3" t="str">
        <x:v>格式错误、加密私钥无法解密、私有源缺凭据</x:v>
      </x:c>
      <x:c r="I165" s="3" t="str">
        <x:v>1. 逐项保存并克隆
2. 检查输入保留和提示</x:v>
      </x:c>
      <x:c r="J165" s="3" t="str">
        <x:v>1. 对应安全错误分类
2. 保留用户输入
3. 不输出私钥、密码或 raw Git stderr</x:v>
      </x:c>
      <x:c r="K165" s="3" t="str">
        <x:v>S01;S09;S10;S23</x:v>
      </x:c>
      <x:c r="L165" s="3" t="str">
        <x:v>实现路径存在，待执行验收</x:v>
      </x:c>
      <x:c r="M165" s="12" t="str">
        <x:v>未执行</x:v>
      </x:c>
      <x:c r="N165" s="12" t="str"/>
      <x:c r="O165" s="12" t="str"/>
      <x:c r="P165" s="12" t="str"/>
    </x:row>
    <x:row r="166" ht="57" customHeight="1">
      <x:c r="A166" s="3" t="str">
        <x:v>WSP-017</x:v>
      </x:c>
      <x:c r="B166" s="3" t="str">
        <x:v>Workspace 与 Git</x:v>
      </x:c>
      <x:c r="C166" s="3" t="str">
        <x:v>认证仓库与分支错误分类</x:v>
      </x:c>
      <x:c r="D166" s="3" t="str">
        <x:v>P1</x:v>
      </x:c>
      <x:c r="E166" s="3" t="str">
        <x:v>异常</x:v>
      </x:c>
      <x:c r="F166" s="3" t="str">
        <x:v>Web + API + 文件系统；Git 集成用测试仓库</x:v>
      </x:c>
      <x:c r="G166" s="3" t="str">
        <x:v>A/B 各有 Workflow；准备空/非空 Workspace、公开 HTTPS 和测试私有仓库；SSH known_hosts 由测试管理员预置。</x:v>
      </x:c>
      <x:c r="H166" s="3" t="str">
        <x:v>错误密码、无权限仓库、不存在分支</x:v>
      </x:c>
      <x:c r="I166" s="3" t="str">
        <x:v>1. 逐项执行保存并克隆
2. 查看反馈位置与文案</x:v>
      </x:c>
      <x:c r="J166" s="3" t="str">
        <x:v>1. 显示可行动的本地化类别
2. 不暴露凭据和内部路径
3. 用户可修改并重试</x:v>
      </x:c>
      <x:c r="K166" s="3" t="str">
        <x:v>S01;S09;S10;S23</x:v>
      </x:c>
      <x:c r="L166" s="3" t="str">
        <x:v>实现路径存在，待执行验收</x:v>
      </x:c>
      <x:c r="M166" s="12" t="str">
        <x:v>未执行</x:v>
      </x:c>
      <x:c r="N166" s="12" t="str"/>
      <x:c r="O166" s="12" t="str"/>
      <x:c r="P166" s="12" t="str"/>
    </x:row>
    <x:row r="167" ht="57" customHeight="1">
      <x:c r="A167" s="3" t="str">
        <x:v>WSP-018</x:v>
      </x:c>
      <x:c r="B167" s="3" t="str">
        <x:v>Workspace 与 Git</x:v>
      </x:c>
      <x:c r="C167" s="3" t="str">
        <x:v>网络故障与超限克隆</x:v>
      </x:c>
      <x:c r="D167" s="3" t="str">
        <x:v>P1</x:v>
      </x:c>
      <x:c r="E167" s="3" t="str">
        <x:v>异常</x:v>
      </x:c>
      <x:c r="F167" s="3" t="str">
        <x:v>Web + API + 文件系统；Git 集成用测试仓库</x:v>
      </x:c>
      <x:c r="G167" s="3" t="str">
        <x:v>A/B 各有 Workflow；准备空/非空 Workspace、公开 HTTPS 和测试私有仓库；SSH known_hosts 由测试管理员预置。</x:v>
      </x:c>
      <x:c r="H167" s="3" t="str">
        <x:v>DNS 失败、超时、超过 Workspace 配额的仓库</x:v>
      </x:c>
      <x:c r="I167" s="3" t="str">
        <x:v>1. 分别克隆
2. 查看安全错误
3. 检查目录和残留凭据</x:v>
      </x:c>
      <x:c r="J167" s="3" t="str">
        <x:v>1. 网络/大小错误可区分
2. 不留可使用的损坏状态
3. 临时凭据清理</x:v>
      </x:c>
      <x:c r="K167" s="3" t="str">
        <x:v>S01;S09;S10;S23</x:v>
      </x:c>
      <x:c r="L167" s="3" t="str">
        <x:v>实现路径存在，待执行验收</x:v>
      </x:c>
      <x:c r="M167" s="12" t="str">
        <x:v>未执行</x:v>
      </x:c>
      <x:c r="N167" s="12" t="str"/>
      <x:c r="O167" s="12" t="str"/>
      <x:c r="P167" s="12" t="str"/>
    </x:row>
    <x:row r="168" ht="57" customHeight="1">
      <x:c r="A168" s="3" t="str">
        <x:v>WSP-019</x:v>
      </x:c>
      <x:c r="B168" s="3" t="str">
        <x:v>Workspace 与 Git</x:v>
      </x:c>
      <x:c r="C168" s="3" t="str">
        <x:v>克隆反馈持久可见</x:v>
      </x:c>
      <x:c r="D168" s="3" t="str">
        <x:v>P1</x:v>
      </x:c>
      <x:c r="E168" s="3" t="str">
        <x:v>交互</x:v>
      </x:c>
      <x:c r="F168" s="3" t="str">
        <x:v>Web + API + 文件系统；Git 集成用测试仓库</x:v>
      </x:c>
      <x:c r="G168" s="3" t="str">
        <x:v>A/B 各有 Workflow；准备空/非空 Workspace、公开 HTTPS 和测试私有仓库；SSH known_hosts 由测试管理员预置。</x:v>
      </x:c>
      <x:c r="H168" s="3" t="str">
        <x:v>设置页已滚动；克隆成功或失败</x:v>
      </x:c>
      <x:c r="I168" s="3" t="str">
        <x:v>1. 点击保存并克隆
2. 观察滚动和动作旁反馈
3. 等待 Toast 消失</x:v>
      </x:c>
      <x:c r="J168" s="3" t="str">
        <x:v>1. 动作旁结果保留并进入视野
2. 失败保存输入
3. 成功清空表单密码和私钥</x:v>
      </x:c>
      <x:c r="K168" s="3" t="str">
        <x:v>S01;S09;S10;S23</x:v>
      </x:c>
      <x:c r="L168" s="3" t="str">
        <x:v>实现路径存在，待执行验收</x:v>
      </x:c>
      <x:c r="M168" s="12" t="str">
        <x:v>未执行</x:v>
      </x:c>
      <x:c r="N168" s="12" t="str"/>
      <x:c r="O168" s="12" t="str"/>
      <x:c r="P168" s="12" t="str"/>
    </x:row>
    <x:row r="169" ht="57" customHeight="1">
      <x:c r="A169" s="3" t="str">
        <x:v>WSP-020</x:v>
      </x:c>
      <x:c r="B169" s="3" t="str">
        <x:v>Workspace 与 Git</x:v>
      </x:c>
      <x:c r="C169" s="3" t="str">
        <x:v>Git 示例无部署信息</x:v>
      </x:c>
      <x:c r="D169" s="3" t="str">
        <x:v>P2</x:v>
      </x:c>
      <x:c r="E169" s="3" t="str">
        <x:v>安全</x:v>
      </x:c>
      <x:c r="F169" s="3" t="str">
        <x:v>Web + API + 文件系统；Git 集成用测试仓库</x:v>
      </x:c>
      <x:c r="G169" s="3" t="str">
        <x:v>A/B 各有 Workflow；准备空/非空 Workspace、公开 HTTPS 和测试私有仓库；SSH known_hosts 由测试管理员预置。</x:v>
      </x:c>
      <x:c r="H169" s="3" t="str">
        <x:v>Git Settings 的 SSH 示例与帮助文字</x:v>
      </x:c>
      <x:c r="I169" s="3" t="str">
        <x:v>1. 查看中英文示例
2. 搜索部署 IP 或运营账号细节</x:v>
      </x:c>
      <x:c r="J169" s="3" t="str">
        <x:v>1. 使用保留示例域名和通用账号/文件名
2. 不含真实部署连接信息</x:v>
      </x:c>
      <x:c r="K169" s="3" t="str">
        <x:v>S01;S09;S10;S23</x:v>
      </x:c>
      <x:c r="L169" s="3" t="str">
        <x:v>实现路径存在，待执行验收</x:v>
      </x:c>
      <x:c r="M169" s="12" t="str">
        <x:v>未执行</x:v>
      </x:c>
      <x:c r="N169" s="12" t="str"/>
      <x:c r="O169" s="12" t="str"/>
      <x:c r="P169" s="12" t="str"/>
    </x:row>
    <x:row r="170" ht="57" customHeight="1">
      <x:c r="A170" s="3" t="str">
        <x:v>WSP-021</x:v>
      </x:c>
      <x:c r="B170" s="3" t="str">
        <x:v>Workspace 与 Git</x:v>
      </x:c>
      <x:c r="C170" s="3" t="str">
        <x:v>每 Workspace 仅单 Git Source</x:v>
      </x:c>
      <x:c r="D170" s="3" t="str">
        <x:v>P1</x:v>
      </x:c>
      <x:c r="E170" s="3" t="str">
        <x:v>范围</x:v>
      </x:c>
      <x:c r="F170" s="3" t="str">
        <x:v>Web + API + 文件系统；Git 集成用测试仓库</x:v>
      </x:c>
      <x:c r="G170" s="3" t="str">
        <x:v>A/B 各有 Workflow；准备空/非空 Workspace、公开 HTTPS 和测试私有仓库；SSH known_hosts 由测试管理员预置。</x:v>
      </x:c>
      <x:c r="H170" s="3" t="str">
        <x:v>已有一个成功克隆的源</x:v>
      </x:c>
      <x:c r="I170" s="3" t="str">
        <x:v>1. 尝试再添加第二个来源
2. 查看产品操作和目录</x:v>
      </x:c>
      <x:c r="J170" s="3" t="str">
        <x:v>1. 不支持多仓库绑定
2. 不会通过克隆清空非空 Workspace</x:v>
      </x:c>
      <x:c r="K170" s="3" t="str">
        <x:v>S01;S09;S10;S23</x:v>
      </x:c>
      <x:c r="L170" s="3" t="str">
        <x:v>实现路径存在，待执行验收</x:v>
      </x:c>
      <x:c r="M170" s="12" t="str">
        <x:v>未执行</x:v>
      </x:c>
      <x:c r="N170" s="12" t="str"/>
      <x:c r="O170" s="12" t="str"/>
      <x:c r="P170" s="12" t="str"/>
    </x:row>
    <x:row r="171" ht="57" customHeight="1">
      <x:c r="A171" s="3" t="str">
        <x:v>ART-001</x:v>
      </x:c>
      <x:c r="B171" s="3" t="str">
        <x:v>Artifact 与结果展示</x:v>
      </x:c>
      <x:c r="C171" s="3" t="str">
        <x:v>Session 成功生成 Artifact</x:v>
      </x:c>
      <x:c r="D171" s="3" t="str">
        <x:v>P0</x:v>
      </x:c>
      <x:c r="E171" s="3" t="str">
        <x:v>正向</x:v>
      </x:c>
      <x:c r="F171" s="3" t="str">
        <x:v>Web + API + Object Storage</x:v>
      </x:c>
      <x:c r="G171" s="3" t="str">
        <x:v>准备成功/失败/取消 Session 和 Run，各含文本及真实生成文件；对象存储可控制过期时间。</x:v>
      </x:c>
      <x:c r="H171" s="3" t="str">
        <x:v>Runtime 生成 report.csv 并成功结束</x:v>
      </x:c>
      <x:c r="I171" s="3" t="str">
        <x:v>1. 发送生成文件请求
2. 展开 Agent 回复下文件
3. 下载</x:v>
      </x:c>
      <x:c r="J171" s="3" t="str">
        <x:v>1. Artifact 关联正确 Session/Assistant message
2. 名称和大小正确
3. 下载字节一致</x:v>
      </x:c>
      <x:c r="K171" s="3" t="str">
        <x:v>S01;S08;S09</x:v>
      </x:c>
      <x:c r="L171" s="3" t="str">
        <x:v>实现路径存在，待执行验收</x:v>
      </x:c>
      <x:c r="M171" s="12" t="str">
        <x:v>未执行</x:v>
      </x:c>
      <x:c r="N171" s="12" t="str"/>
      <x:c r="O171" s="12" t="str"/>
      <x:c r="P171" s="12" t="str"/>
    </x:row>
    <x:row r="172" ht="57" customHeight="1">
      <x:c r="A172" s="3" t="str">
        <x:v>ART-002</x:v>
      </x:c>
      <x:c r="B172" s="3" t="str">
        <x:v>Artifact 与结果展示</x:v>
      </x:c>
      <x:c r="C172" s="3" t="str">
        <x:v>Run 只捕获新增与修改文件</x:v>
      </x:c>
      <x:c r="D172" s="3" t="str">
        <x:v>P0</x:v>
      </x:c>
      <x:c r="E172" s="3" t="str">
        <x:v>正向</x:v>
      </x:c>
      <x:c r="F172" s="3" t="str">
        <x:v>Web + API + Object Storage</x:v>
      </x:c>
      <x:c r="G172" s="3" t="str">
        <x:v>准备成功/失败/取消 Session 和 Run，各含文本及真实生成文件；对象存储可控制过期时间。</x:v>
      </x:c>
      <x:c r="H172" s="3" t="str">
        <x:v>原 a.txt 未变，b.txt 修改，新增 c.txt</x:v>
      </x:c>
      <x:c r="I172" s="3" t="str">
        <x:v>1. 执行成功
2. 查看 Artifacts 与 changes</x:v>
      </x:c>
      <x:c r="J172" s="3" t="str">
        <x:v>1. 捕获 b.txt/c.txt
2. a.txt 不重复归档
3. 变更与 Run 关联正确</x:v>
      </x:c>
      <x:c r="K172" s="3" t="str">
        <x:v>S01;S08;S09</x:v>
      </x:c>
      <x:c r="L172" s="3" t="str">
        <x:v>实现路径存在，待执行验收</x:v>
      </x:c>
      <x:c r="M172" s="12" t="str">
        <x:v>未执行</x:v>
      </x:c>
      <x:c r="N172" s="12" t="str"/>
      <x:c r="O172" s="12" t="str"/>
      <x:c r="P172" s="12" t="str"/>
    </x:row>
    <x:row r="173" ht="42" customHeight="1">
      <x:c r="A173" s="3" t="str">
        <x:v>ART-003</x:v>
      </x:c>
      <x:c r="B173" s="3" t="str">
        <x:v>Artifact 与结果展示</x:v>
      </x:c>
      <x:c r="C173" s="3" t="str">
        <x:v>普通文本不生成合成文件</x:v>
      </x:c>
      <x:c r="D173" s="3" t="str">
        <x:v>P0</x:v>
      </x:c>
      <x:c r="E173" s="3" t="str">
        <x:v>边界</x:v>
      </x:c>
      <x:c r="F173" s="3" t="str">
        <x:v>Web + API + Object Storage</x:v>
      </x:c>
      <x:c r="G173" s="3" t="str">
        <x:v>准备成功/失败/取消 Session 和 Run，各含文本及真实生成文件；对象存储可控制过期时间。</x:v>
      </x:c>
      <x:c r="H173" s="3" t="str">
        <x:v>仅 final text 或 JSON，无文件写入</x:v>
      </x:c>
      <x:c r="I173" s="3" t="str">
        <x:v>1. 完成 Session 和 Run 各一次
2. 检查 Artifact 列表</x:v>
      </x:c>
      <x:c r="J173" s="3" t="str">
        <x:v>1. 结果保留在对话
2. 不生成 synthetic result.txt 或 JSON Artifact</x:v>
      </x:c>
      <x:c r="K173" s="3" t="str">
        <x:v>S01;S08;S09</x:v>
      </x:c>
      <x:c r="L173" s="3" t="str">
        <x:v>实现路径存在，待执行验收</x:v>
      </x:c>
      <x:c r="M173" s="12" t="str">
        <x:v>未执行</x:v>
      </x:c>
      <x:c r="N173" s="12" t="str"/>
      <x:c r="O173" s="12" t="str"/>
      <x:c r="P173" s="12" t="str"/>
    </x:row>
    <x:row r="174" ht="57" customHeight="1">
      <x:c r="A174" s="3" t="str">
        <x:v>ART-004</x:v>
      </x:c>
      <x:c r="B174" s="3" t="str">
        <x:v>Artifact 与结果展示</x:v>
      </x:c>
      <x:c r="C174" s="3" t="str">
        <x:v>失败取消不产生 Artifact</x:v>
      </x:c>
      <x:c r="D174" s="3" t="str">
        <x:v>P0</x:v>
      </x:c>
      <x:c r="E174" s="3" t="str">
        <x:v>状态</x:v>
      </x:c>
      <x:c r="F174" s="3" t="str">
        <x:v>Web + API + Object Storage</x:v>
      </x:c>
      <x:c r="G174" s="3" t="str">
        <x:v>准备成功/失败/取消 Session 和 Run，各含文本及真实生成文件；对象存储可控制过期时间。</x:v>
      </x:c>
      <x:c r="H174" s="3" t="str">
        <x:v>执行已写临时文件后失败或取消</x:v>
      </x:c>
      <x:c r="I174" s="3" t="str">
        <x:v>1. 触发失败/取消
2. 查看列表与对象记录</x:v>
      </x:c>
      <x:c r="J174" s="3" t="str">
        <x:v>1. 不展示成功文件 Artifact
2. 临时变更丢弃
3. 错误结果仍可查看</x:v>
      </x:c>
      <x:c r="K174" s="3" t="str">
        <x:v>S01;S08;S09</x:v>
      </x:c>
      <x:c r="L174" s="3" t="str">
        <x:v>实现路径存在，待执行验收</x:v>
      </x:c>
      <x:c r="M174" s="12" t="str">
        <x:v>未执行</x:v>
      </x:c>
      <x:c r="N174" s="12" t="str"/>
      <x:c r="O174" s="12" t="str"/>
      <x:c r="P174" s="12" t="str"/>
    </x:row>
    <x:row r="175" ht="57" customHeight="1">
      <x:c r="A175" s="3" t="str">
        <x:v>ART-005</x:v>
      </x:c>
      <x:c r="B175" s="3" t="str">
        <x:v>Artifact 与结果展示</x:v>
      </x:c>
      <x:c r="C175" s="3" t="str">
        <x:v>文件与变更互斥展开</x:v>
      </x:c>
      <x:c r="D175" s="3" t="str">
        <x:v>P1</x:v>
      </x:c>
      <x:c r="E175" s="3" t="str">
        <x:v>交互</x:v>
      </x:c>
      <x:c r="F175" s="3" t="str">
        <x:v>Web + API + Object Storage</x:v>
      </x:c>
      <x:c r="G175" s="3" t="str">
        <x:v>准备成功/失败/取消 Session 和 Run，各含文本及真实生成文件；对象存储可控制过期时间。</x:v>
      </x:c>
      <x:c r="H175" s="3" t="str">
        <x:v>成功回复有两个生成文件</x:v>
      </x:c>
      <x:c r="I175" s="3" t="str">
        <x:v>1. 点查看全部产物
2. 再点查看全部变更
3. 切回</x:v>
      </x:c>
      <x:c r="J175" s="3" t="str">
        <x:v>1. 两个展开区互斥
2. 只显示文件卡片/变更元数据
3. 不把文件正文嵌满聊天</x:v>
      </x:c>
      <x:c r="K175" s="3" t="str">
        <x:v>S01;S08;S09</x:v>
      </x:c>
      <x:c r="L175" s="3" t="str">
        <x:v>实现路径存在，待执行验收</x:v>
      </x:c>
      <x:c r="M175" s="12" t="str">
        <x:v>未执行</x:v>
      </x:c>
      <x:c r="N175" s="12" t="str"/>
      <x:c r="O175" s="12" t="str"/>
      <x:c r="P175" s="12" t="str"/>
    </x:row>
    <x:row r="176" ht="42" customHeight="1">
      <x:c r="A176" s="3" t="str">
        <x:v>ART-006</x:v>
      </x:c>
      <x:c r="B176" s="3" t="str">
        <x:v>Artifact 与结果展示</x:v>
      </x:c>
      <x:c r="C176" s="3" t="str">
        <x:v>点击卡片直接下载</x:v>
      </x:c>
      <x:c r="D176" s="3" t="str">
        <x:v>P1</x:v>
      </x:c>
      <x:c r="E176" s="3" t="str">
        <x:v>交互</x:v>
      </x:c>
      <x:c r="F176" s="3" t="str">
        <x:v>Web + API + Object Storage</x:v>
      </x:c>
      <x:c r="G176" s="3" t="str">
        <x:v>准备成功/失败/取消 Session 和 Run，各含文本及真实生成文件；对象存储可控制过期时间。</x:v>
      </x:c>
      <x:c r="H176" s="3" t="str">
        <x:v>未过期 Artifact 卡片</x:v>
      </x:c>
      <x:c r="I176" s="3" t="str">
        <x:v>1. 点击卡片
2. 检查下载名和网络请求</x:v>
      </x:c>
      <x:c r="J176" s="3" t="str">
        <x:v>1. 触发认证下载
2. 不泄漏 Runtime Workspace 路径或存储签名参数</x:v>
      </x:c>
      <x:c r="K176" s="3" t="str">
        <x:v>S01;S08;S09</x:v>
      </x:c>
      <x:c r="L176" s="3" t="str">
        <x:v>实现路径存在，待执行验收</x:v>
      </x:c>
      <x:c r="M176" s="12" t="str">
        <x:v>未执行</x:v>
      </x:c>
      <x:c r="N176" s="12" t="str"/>
      <x:c r="O176" s="12" t="str"/>
      <x:c r="P176" s="12" t="str"/>
    </x:row>
    <x:row r="177" ht="57" customHeight="1">
      <x:c r="A177" s="3" t="str">
        <x:v>ART-007</x:v>
      </x:c>
      <x:c r="B177" s="3" t="str">
        <x:v>Artifact 与结果展示</x:v>
      </x:c>
      <x:c r="C177" s="3" t="str">
        <x:v>90 天文件过期</x:v>
      </x:c>
      <x:c r="D177" s="3" t="str">
        <x:v>P0</x:v>
      </x:c>
      <x:c r="E177" s="3" t="str">
        <x:v>生命周期</x:v>
      </x:c>
      <x:c r="F177" s="3" t="str">
        <x:v>Web + API + Object Storage</x:v>
      </x:c>
      <x:c r="G177" s="3" t="str">
        <x:v>准备成功/失败/取消 Session 和 Run，各含文本及真实生成文件；对象存储可控制过期时间。</x:v>
      </x:c>
      <x:c r="H177" s="3" t="str">
        <x:v>Artifact 创建时间 T；T+90 天前后</x:v>
      </x:c>
      <x:c r="I177" s="3" t="str">
        <x:v>1. 分别查询元数据和下载
2. 刷新对话</x:v>
      </x:c>
      <x:c r="J177" s="3" t="str">
        <x:v>1. 到期后元数据保留并提示文件过期
2. 过期文件不可下载
3. 历史文本不随之删除</x:v>
      </x:c>
      <x:c r="K177" s="3" t="str">
        <x:v>S01;S08;S09</x:v>
      </x:c>
      <x:c r="L177" s="3" t="str">
        <x:v>实现路径存在，待执行验收</x:v>
      </x:c>
      <x:c r="M177" s="12" t="str">
        <x:v>未执行</x:v>
      </x:c>
      <x:c r="N177" s="12" t="str"/>
      <x:c r="O177" s="12" t="str"/>
      <x:c r="P177" s="12" t="str"/>
    </x:row>
    <x:row r="178" ht="42" customHeight="1">
      <x:c r="A178" s="3" t="str">
        <x:v>ART-008</x:v>
      </x:c>
      <x:c r="B178" s="3" t="str">
        <x:v>Artifact 与结果展示</x:v>
      </x:c>
      <x:c r="C178" s="3" t="str">
        <x:v>删除 Workflow 后文件仍可下载</x:v>
      </x:c>
      <x:c r="D178" s="3" t="str">
        <x:v>P0</x:v>
      </x:c>
      <x:c r="E178" s="3" t="str">
        <x:v>生命周期</x:v>
      </x:c>
      <x:c r="F178" s="3" t="str">
        <x:v>Web + API + Object Storage</x:v>
      </x:c>
      <x:c r="G178" s="3" t="str">
        <x:v>准备成功/失败/取消 Session 和 Run，各含文本及真实生成文件；对象存储可控制过期时间。</x:v>
      </x:c>
      <x:c r="H178" s="3" t="str">
        <x:v>有未过期 Artifact 的已删除 Workflow</x:v>
      </x:c>
      <x:c r="I178" s="3" t="str">
        <x:v>1. 打开 Deleted Records
2. 下载其文件</x:v>
      </x:c>
      <x:c r="J178" s="3" t="str">
        <x:v>1. 保留授权下载能力直到到期
2. 无法因此恢复运行</x:v>
      </x:c>
      <x:c r="K178" s="3" t="str">
        <x:v>S01;S08;S09</x:v>
      </x:c>
      <x:c r="L178" s="3" t="str">
        <x:v>实现路径存在，待执行验收</x:v>
      </x:c>
      <x:c r="M178" s="12" t="str">
        <x:v>未执行</x:v>
      </x:c>
      <x:c r="N178" s="12" t="str"/>
      <x:c r="O178" s="12" t="str"/>
      <x:c r="P178" s="12" t="str"/>
    </x:row>
    <x:row r="179" ht="42" customHeight="1">
      <x:c r="A179" s="3" t="str">
        <x:v>ART-009</x:v>
      </x:c>
      <x:c r="B179" s="3" t="str">
        <x:v>Artifact 与结果展示</x:v>
      </x:c>
      <x:c r="C179" s="3" t="str">
        <x:v>跨 owner Artifact 读取拒绝</x:v>
      </x:c>
      <x:c r="D179" s="3" t="str">
        <x:v>P0</x:v>
      </x:c>
      <x:c r="E179" s="3" t="str">
        <x:v>权限</x:v>
      </x:c>
      <x:c r="F179" s="3" t="str">
        <x:v>Web + API + Object Storage</x:v>
      </x:c>
      <x:c r="G179" s="3" t="str">
        <x:v>准备成功/失败/取消 Session 和 Run，各含文本及真实生成文件；对象存储可控制过期时间。</x:v>
      </x:c>
      <x:c r="H179" s="3" t="str">
        <x:v>B 的 Session/Workflow Artifact ID</x:v>
      </x:c>
      <x:c r="I179" s="3" t="str">
        <x:v>1. A 构造下载 URL
2. 同时替换父资源 ID</x:v>
      </x:c>
      <x:c r="J179" s="3" t="str">
        <x:v>1. 归属和父资源匹配均被校验
2. 非所有者不能下载或获取元数据</x:v>
      </x:c>
      <x:c r="K179" s="3" t="str">
        <x:v>S01;S08;S09</x:v>
      </x:c>
      <x:c r="L179" s="3" t="str">
        <x:v>实现路径存在，待执行验收</x:v>
      </x:c>
      <x:c r="M179" s="12" t="str">
        <x:v>未执行</x:v>
      </x:c>
      <x:c r="N179" s="12" t="str"/>
      <x:c r="O179" s="12" t="str"/>
      <x:c r="P179" s="12" t="str"/>
    </x:row>
    <x:row r="180" ht="57" customHeight="1">
      <x:c r="A180" s="3" t="str">
        <x:v>ART-010</x:v>
      </x:c>
      <x:c r="B180" s="3" t="str">
        <x:v>Artifact 与结果展示</x:v>
      </x:c>
      <x:c r="C180" s="3" t="str">
        <x:v>对象缺失与读取错误</x:v>
      </x:c>
      <x:c r="D180" s="3" t="str">
        <x:v>P1</x:v>
      </x:c>
      <x:c r="E180" s="3" t="str">
        <x:v>异常</x:v>
      </x:c>
      <x:c r="F180" s="3" t="str">
        <x:v>Web + API + Object Storage</x:v>
      </x:c>
      <x:c r="G180" s="3" t="str">
        <x:v>准备成功/失败/取消 Session 和 Run，各含文本及真实生成文件；对象存储可控制过期时间。</x:v>
      </x:c>
      <x:c r="H180" s="3" t="str">
        <x:v>元数据存在而对象不存在或存储读取失败</x:v>
      </x:c>
      <x:c r="I180" s="3" t="str">
        <x:v>1. 打开卡片下载
2. 重试
3. 查看错误</x:v>
      </x:c>
      <x:c r="J180" s="3" t="str">
        <x:v>1. 显示可理解失败
2. 不返回损坏成功下载
3. 不暴露内部存储凭据</x:v>
      </x:c>
      <x:c r="K180" s="3" t="str">
        <x:v>S01;S08;S09</x:v>
      </x:c>
      <x:c r="L180" s="3" t="str">
        <x:v>实现路径存在，待执行验收</x:v>
      </x:c>
      <x:c r="M180" s="12" t="str">
        <x:v>未执行</x:v>
      </x:c>
      <x:c r="N180" s="12" t="str"/>
      <x:c r="O180" s="12" t="str"/>
      <x:c r="P180" s="12" t="str"/>
    </x:row>
    <x:row r="181" ht="42" customHeight="1">
      <x:c r="A181" s="3" t="str">
        <x:v>ART-011</x:v>
      </x:c>
      <x:c r="B181" s="3" t="str">
        <x:v>Artifact 与结果展示</x:v>
      </x:c>
      <x:c r="C181" s="3" t="str">
        <x:v>Artifact 归档前统一脱敏</x:v>
      </x:c>
      <x:c r="D181" s="3" t="str">
        <x:v>P0</x:v>
      </x:c>
      <x:c r="E181" s="3" t="str">
        <x:v>安全</x:v>
      </x:c>
      <x:c r="F181" s="3" t="str">
        <x:v>Web + API + Object Storage</x:v>
      </x:c>
      <x:c r="G181" s="3" t="str">
        <x:v>准备成功/失败/取消 Session 和 Run，各含文本及真实生成文件；对象存储可控制过期时间。</x:v>
      </x:c>
      <x:c r="H181" s="3" t="str">
        <x:v>生成文件含多个测试 Secret 和跨块拆分值</x:v>
      </x:c>
      <x:c r="I181" s="3" t="str">
        <x:v>1. 让成功 Runtime 写出文件
2. 下载并扫描字节</x:v>
      </x:c>
      <x:c r="J181" s="3" t="str">
        <x:v>1. 所有登记 Secret 精确值已被脱敏
2. 文件内容、事件和结果使用同一脱敏集合</x:v>
      </x:c>
      <x:c r="K181" s="3" t="str">
        <x:v>S01;S08;S09</x:v>
      </x:c>
      <x:c r="L181" s="3" t="str">
        <x:v>实现路径存在，待执行验收</x:v>
      </x:c>
      <x:c r="M181" s="12" t="str">
        <x:v>未执行</x:v>
      </x:c>
      <x:c r="N181" s="12" t="str"/>
      <x:c r="O181" s="12" t="str"/>
      <x:c r="P181" s="12" t="str"/>
    </x:row>
    <x:row r="182" ht="42" customHeight="1">
      <x:c r="A182" s="3" t="str">
        <x:v>ART-012</x:v>
      </x:c>
      <x:c r="B182" s="3" t="str">
        <x:v>Artifact 与结果展示</x:v>
      </x:c>
      <x:c r="C182" s="3" t="str">
        <x:v>结果保留不限期</x:v>
      </x:c>
      <x:c r="D182" s="3" t="str">
        <x:v>P1</x:v>
      </x:c>
      <x:c r="E182" s="3" t="str">
        <x:v>生命周期</x:v>
      </x:c>
      <x:c r="F182" s="3" t="str">
        <x:v>Web + API + Object Storage</x:v>
      </x:c>
      <x:c r="G182" s="3" t="str">
        <x:v>准备成功/失败/取消 Session 和 Run，各含文本及真实生成文件；对象存储可控制过期时间。</x:v>
      </x:c>
      <x:c r="H182" s="3" t="str">
        <x:v>超过 90 天的 Run 文本/JSON和文件元数据</x:v>
      </x:c>
      <x:c r="I182" s="3" t="str">
        <x:v>1. 查看历史
2. 对比最终结果和文件状态</x:v>
      </x:c>
      <x:c r="J182" s="3" t="str">
        <x:v>1. 结果与 Run 元数据保留
2. 只有 Artifact 文件按 90 天到期</x:v>
      </x:c>
      <x:c r="K182" s="3" t="str">
        <x:v>S01;S08;S09</x:v>
      </x:c>
      <x:c r="L182" s="3" t="str">
        <x:v>实现路径存在，待执行验收</x:v>
      </x:c>
      <x:c r="M182" s="12" t="str">
        <x:v>未执行</x:v>
      </x:c>
      <x:c r="N182" s="12" t="str"/>
      <x:c r="O182" s="12" t="str"/>
      <x:c r="P182" s="12" t="str"/>
    </x:row>
    <x:row r="183" ht="57" customHeight="1">
      <x:c r="A183" s="3" t="str">
        <x:v>EXP-001</x:v>
      </x:c>
      <x:c r="B183" s="3" t="str">
        <x:v>Expert 专家管理</x:v>
      </x:c>
      <x:c r="C183" s="3" t="str">
        <x:v>创建结构化 Expert</x:v>
      </x:c>
      <x:c r="D183" s="3" t="str">
        <x:v>P0</x:v>
      </x:c>
      <x:c r="E183" s="3" t="str">
        <x:v>正向</x:v>
      </x:c>
      <x:c r="F183" s="3" t="str">
        <x:v>Web + API + DB + recording Executor</x:v>
      </x:c>
      <x:c r="G183" s="3" t="str">
        <x:v>A/B 已登录；准备一份完整 Expert、迁移后不完整 Expert 和一个引用团队。</x:v>
      </x:c>
      <x:c r="H183" s="3" t="str">
        <x:v>名称、Introduction、Core Capability、Operating Procedure、Output Standard、Cautions</x:v>
      </x:c>
      <x:c r="I183" s="3" t="str">
        <x:v>1. 从 Experts 新建
2. 填写字段保存
3. 打开详情</x:v>
      </x:c>
      <x:c r="J183" s="3" t="str">
        <x:v>1. 独立编辑页保存成功
2. 使用预置图标
3. 无模型和 Runtime 配置</x:v>
      </x:c>
      <x:c r="K183" s="3" t="str">
        <x:v>S01;S03;S11</x:v>
      </x:c>
      <x:c r="L183" s="3" t="str">
        <x:v>实现路径存在，待执行验收</x:v>
      </x:c>
      <x:c r="M183" s="12" t="str">
        <x:v>未执行</x:v>
      </x:c>
      <x:c r="N183" s="12" t="str">
        <x:v>部分步骤证据：E2E-009 通过；E2E-029 通过。完整结果见“E2E执行”。未执行全部原用例步骤，不据此标记整条通过。</x:v>
      </x:c>
      <x:c r="O183" s="12" t="str"/>
      <x:c r="P183" s="12" t="str">
        <x:v>Codex / 2026-09-06 17:21 Asia/Shanghai</x:v>
      </x:c>
    </x:row>
    <x:row r="184" ht="57" customHeight="1">
      <x:c r="A184" s="3" t="str">
        <x:v>EXP-002</x:v>
      </x:c>
      <x:c r="B184" s="3" t="str">
        <x:v>Expert 专家管理</x:v>
      </x:c>
      <x:c r="C184" s="3" t="str">
        <x:v>必填结构化字段拒绝空值</x:v>
      </x:c>
      <x:c r="D184" s="3" t="str">
        <x:v>P0</x:v>
      </x:c>
      <x:c r="E184" s="3" t="str">
        <x:v>边界</x:v>
      </x:c>
      <x:c r="F184" s="3" t="str">
        <x:v>Web + API + DB + recording Executor</x:v>
      </x:c>
      <x:c r="G184" s="3" t="str">
        <x:v>A/B 已登录；准备一份完整 Expert、迁移后不完整 Expert 和一个引用团队。</x:v>
      </x:c>
      <x:c r="H184" s="3" t="str">
        <x:v>依次清空四个必填指导/介绍字段与名称</x:v>
      </x:c>
      <x:c r="I184" s="3" t="str">
        <x:v>1. 分别保存
2. 观察错误
3. 填回合法内容</x:v>
      </x:c>
      <x:c r="J184" s="3" t="str">
        <x:v>1. 不完整新 Expert 不可用于执行
2. 错误明确定位缺失内容</x:v>
      </x:c>
      <x:c r="K184" s="3" t="str">
        <x:v>S01;S03;S11</x:v>
      </x:c>
      <x:c r="L184" s="3" t="str">
        <x:v>实现路径存在，待执行验收</x:v>
      </x:c>
      <x:c r="M184" s="12" t="str">
        <x:v>未执行</x:v>
      </x:c>
      <x:c r="N184" s="12" t="str">
        <x:v>部分步骤证据：E2E-011 通过。完整结果见“E2E执行”。未执行全部原用例步骤，不据此标记整条通过。</x:v>
      </x:c>
      <x:c r="O184" s="12" t="str"/>
      <x:c r="P184" s="12" t="str">
        <x:v>Codex / 2026-09-06 17:21 Asia/Shanghai</x:v>
      </x:c>
    </x:row>
    <x:row r="185" ht="42" customHeight="1">
      <x:c r="A185" s="3" t="str">
        <x:v>EXP-003</x:v>
      </x:c>
      <x:c r="B185" s="3" t="str">
        <x:v>Expert 专家管理</x:v>
      </x:c>
      <x:c r="C185" s="3" t="str">
        <x:v>名称按 User 唯一</x:v>
      </x:c>
      <x:c r="D185" s="3" t="str">
        <x:v>P1</x:v>
      </x:c>
      <x:c r="E185" s="3" t="str">
        <x:v>边界</x:v>
      </x:c>
      <x:c r="F185" s="3" t="str">
        <x:v>Web + API + DB + recording Executor</x:v>
      </x:c>
      <x:c r="G185" s="3" t="str">
        <x:v>A/B 已登录；准备一份完整 Expert、迁移后不完整 Expert 和一个引用团队。</x:v>
      </x:c>
      <x:c r="H185" s="3" t="str">
        <x:v>A 已有“研究助手”，B 尚无</x:v>
      </x:c>
      <x:c r="I185" s="3" t="str">
        <x:v>1. A 重名创建
2. B 用同名创建</x:v>
      </x:c>
      <x:c r="J185" s="3" t="str">
        <x:v>1. A 冲突而不覆盖
2. B 同名不因 A 的私有资源被阻止</x:v>
      </x:c>
      <x:c r="K185" s="3" t="str">
        <x:v>S01;S03;S11</x:v>
      </x:c>
      <x:c r="L185" s="3" t="str">
        <x:v>实现路径存在，待执行验收</x:v>
      </x:c>
      <x:c r="M185" s="12" t="str">
        <x:v>未执行</x:v>
      </x:c>
      <x:c r="N185" s="12" t="str"/>
      <x:c r="O185" s="12" t="str"/>
      <x:c r="P185" s="12" t="str"/>
    </x:row>
    <x:row r="186" ht="57" customHeight="1">
      <x:c r="A186" s="3" t="str">
        <x:v>EXP-004</x:v>
      </x:c>
      <x:c r="B186" s="3" t="str">
        <x:v>Expert 专家管理</x:v>
      </x:c>
      <x:c r="C186" s="3" t="str">
        <x:v>图标与背景预置</x:v>
      </x:c>
      <x:c r="D186" s="3" t="str">
        <x:v>P2</x:v>
      </x:c>
      <x:c r="E186" s="3" t="str">
        <x:v>交互</x:v>
      </x:c>
      <x:c r="F186" s="3" t="str">
        <x:v>Web + API + DB + recording Executor</x:v>
      </x:c>
      <x:c r="G186" s="3" t="str">
        <x:v>A/B 已登录；准备一份完整 Expert、迁移后不完整 Expert 和一个引用团队。</x:v>
      </x:c>
      <x:c r="H186" s="3" t="str">
        <x:v>默认图标及多个预置组合</x:v>
      </x:c>
      <x:c r="I186" s="3" t="str">
        <x:v>1. 切换图标和背景保存
2. 查看卡片/详情/选择器</x:v>
      </x:c>
      <x:c r="J186" s="3" t="str">
        <x:v>1. 展示一致
2. 未设置时有默认值
3. 不提供任意图片上传</x:v>
      </x:c>
      <x:c r="K186" s="3" t="str">
        <x:v>S01;S03;S11</x:v>
      </x:c>
      <x:c r="L186" s="3" t="str">
        <x:v>实现路径存在，待执行验收</x:v>
      </x:c>
      <x:c r="M186" s="12" t="str">
        <x:v>未执行</x:v>
      </x:c>
      <x:c r="N186" s="12" t="str"/>
      <x:c r="O186" s="12" t="str"/>
      <x:c r="P186" s="12" t="str"/>
    </x:row>
    <x:row r="187" ht="42" customHeight="1">
      <x:c r="A187" s="3" t="str">
        <x:v>EXP-005</x:v>
      </x:c>
      <x:c r="B187" s="3" t="str">
        <x:v>Expert 专家管理</x:v>
      </x:c>
      <x:c r="C187" s="3" t="str">
        <x:v>四段指导注入顺序</x:v>
      </x:c>
      <x:c r="D187" s="3" t="str">
        <x:v>P0</x:v>
      </x:c>
      <x:c r="E187" s="3" t="str">
        <x:v>契约</x:v>
      </x:c>
      <x:c r="F187" s="3" t="str">
        <x:v>Web + API + DB + recording Executor</x:v>
      </x:c>
      <x:c r="G187" s="3" t="str">
        <x:v>A/B 已登录；准备一份完整 Expert、迁移后不完整 Expert 和一个引用团队。</x:v>
      </x:c>
      <x:c r="H187" s="3" t="str">
        <x:v>四字段各含唯一标记 CAP/PROC/OUT/CAUTION</x:v>
      </x:c>
      <x:c r="I187" s="3" t="str">
        <x:v>1. 执行单 Expert
2. 捕获构造的 instruction</x:v>
      </x:c>
      <x:c r="J187" s="3" t="str">
        <x:v>1. 按固定可见标题注入四字段
2. 内容来自冻结定义且顺序正确</x:v>
      </x:c>
      <x:c r="K187" s="3" t="str">
        <x:v>S01;S03;S11</x:v>
      </x:c>
      <x:c r="L187" s="3" t="str">
        <x:v>实现路径存在，待执行验收</x:v>
      </x:c>
      <x:c r="M187" s="12" t="str">
        <x:v>未执行</x:v>
      </x:c>
      <x:c r="N187" s="12" t="str"/>
      <x:c r="O187" s="12" t="str"/>
      <x:c r="P187" s="12" t="str"/>
    </x:row>
    <x:row r="188" ht="42" customHeight="1">
      <x:c r="A188" s="3" t="str">
        <x:v>EXP-006</x:v>
      </x:c>
      <x:c r="B188" s="3" t="str">
        <x:v>Expert 专家管理</x:v>
      </x:c>
      <x:c r="C188" s="3" t="str">
        <x:v>Introduction 与标签不注入</x:v>
      </x:c>
      <x:c r="D188" s="3" t="str">
        <x:v>P0</x:v>
      </x:c>
      <x:c r="E188" s="3" t="str">
        <x:v>契约</x:v>
      </x:c>
      <x:c r="F188" s="3" t="str">
        <x:v>Web + API + DB + recording Executor</x:v>
      </x:c>
      <x:c r="G188" s="3" t="str">
        <x:v>A/B 已登录；准备一份完整 Expert、迁移后不完整 Expert 和一个引用团队。</x:v>
      </x:c>
      <x:c r="H188" s="3" t="str">
        <x:v>Introduction=DISPLAY_ONLY，标签含 TAG_ONLY</x:v>
      </x:c>
      <x:c r="I188" s="3" t="str">
        <x:v>1. 执行专家并检查 instruction</x:v>
      </x:c>
      <x:c r="J188" s="3" t="str">
        <x:v>1. 两个标记不作为指导注入
2. Core Capability 仍正确注入</x:v>
      </x:c>
      <x:c r="K188" s="3" t="str">
        <x:v>S01;S03;S11</x:v>
      </x:c>
      <x:c r="L188" s="3" t="str">
        <x:v>实现路径存在，待执行验收</x:v>
      </x:c>
      <x:c r="M188" s="12" t="str">
        <x:v>未执行</x:v>
      </x:c>
      <x:c r="N188" s="12" t="str"/>
      <x:c r="O188" s="12" t="str"/>
      <x:c r="P188" s="12" t="str"/>
    </x:row>
    <x:row r="189" ht="42" customHeight="1">
      <x:c r="A189" s="3" t="str">
        <x:v>EXP-007</x:v>
      </x:c>
      <x:c r="B189" s="3" t="str">
        <x:v>Expert 专家管理</x:v>
      </x:c>
      <x:c r="C189" s="3" t="str">
        <x:v>单专家仅一次直接执行</x:v>
      </x:c>
      <x:c r="D189" s="3" t="str">
        <x:v>P1</x:v>
      </x:c>
      <x:c r="E189" s="3" t="str">
        <x:v>计费</x:v>
      </x:c>
      <x:c r="F189" s="3" t="str">
        <x:v>Web + API + DB + recording Executor</x:v>
      </x:c>
      <x:c r="G189" s="3" t="str">
        <x:v>A/B 已登录；准备一份完整 Expert、迁移后不完整 Expert 和一个引用团队。</x:v>
      </x:c>
      <x:c r="H189" s="3" t="str">
        <x:v>仅选择一个 Expert</x:v>
      </x:c>
      <x:c r="I189" s="3" t="str">
        <x:v>1. 发送消息
2. 统计模型调用与账本</x:v>
      </x:c>
      <x:c r="J189" s="3" t="str">
        <x:v>1. 不额外添加 coordinator 或 synthesis 调用
2. 仅实际单 Stage 计费</x:v>
      </x:c>
      <x:c r="K189" s="3" t="str">
        <x:v>S01;S03;S11</x:v>
      </x:c>
      <x:c r="L189" s="3" t="str">
        <x:v>实现路径存在，待执行验收</x:v>
      </x:c>
      <x:c r="M189" s="12" t="str">
        <x:v>未执行</x:v>
      </x:c>
      <x:c r="N189" s="12" t="str"/>
      <x:c r="O189" s="12" t="str"/>
      <x:c r="P189" s="12" t="str"/>
    </x:row>
    <x:row r="190" ht="57" customHeight="1">
      <x:c r="A190" s="3" t="str">
        <x:v>EXP-008</x:v>
      </x:c>
      <x:c r="B190" s="3" t="str">
        <x:v>Expert 专家管理</x:v>
      </x:c>
      <x:c r="C190" s="3" t="str">
        <x:v>异步派生标签成功</x:v>
      </x:c>
      <x:c r="D190" s="3" t="str">
        <x:v>P1</x:v>
      </x:c>
      <x:c r="E190" s="3" t="str">
        <x:v>正向</x:v>
      </x:c>
      <x:c r="F190" s="3" t="str">
        <x:v>Web + API + DB + recording Executor</x:v>
      </x:c>
      <x:c r="G190" s="3" t="str">
        <x:v>A/B 已登录；准备一份完整 Expert、迁移后不完整 Expert 和一个引用团队。</x:v>
      </x:c>
      <x:c r="H190" s="3" t="str">
        <x:v>Core Capability 可推导多个标签</x:v>
      </x:c>
      <x:c r="I190" s="3" t="str">
        <x:v>1. 保存 Expert
2. 等待投影
3. 查看卡片</x:v>
      </x:c>
      <x:c r="J190" s="3" t="str">
        <x:v>1. 最多五个 Derived Expertise Tags
2. 不阻塞保存/执行
3. 不扣 User Credits</x:v>
      </x:c>
      <x:c r="K190" s="3" t="str">
        <x:v>S01;S03;S11</x:v>
      </x:c>
      <x:c r="L190" s="3" t="str">
        <x:v>实现路径存在，待执行验收</x:v>
      </x:c>
      <x:c r="M190" s="12" t="str">
        <x:v>未执行</x:v>
      </x:c>
      <x:c r="N190" s="12" t="str"/>
      <x:c r="O190" s="12" t="str"/>
      <x:c r="P190" s="12" t="str"/>
    </x:row>
    <x:row r="191" ht="57" customHeight="1">
      <x:c r="A191" s="3" t="str">
        <x:v>EXP-009</x:v>
      </x:c>
      <x:c r="B191" s="3" t="str">
        <x:v>Expert 专家管理</x:v>
      </x:c>
      <x:c r="C191" s="3" t="str">
        <x:v>派生标签失败保留旧值</x:v>
      </x:c>
      <x:c r="D191" s="3" t="str">
        <x:v>P1</x:v>
      </x:c>
      <x:c r="E191" s="3" t="str">
        <x:v>恢复</x:v>
      </x:c>
      <x:c r="F191" s="3" t="str">
        <x:v>Web + API + DB + recording Executor</x:v>
      </x:c>
      <x:c r="G191" s="3" t="str">
        <x:v>A/B 已登录；准备一份完整 Expert、迁移后不完整 Expert 和一个引用团队。</x:v>
      </x:c>
      <x:c r="H191" s="3" t="str">
        <x:v>已有标签；标签模型调用失败</x:v>
      </x:c>
      <x:c r="I191" s="3" t="str">
        <x:v>1. 编辑 Core Capability 保存
2. 令异步投影失败</x:v>
      </x:c>
      <x:c r="J191" s="3" t="str">
        <x:v>1. 保存仍成功
2. 旧标签保持
3. 不会把专家判为不可用</x:v>
      </x:c>
      <x:c r="K191" s="3" t="str">
        <x:v>S01;S03;S11</x:v>
      </x:c>
      <x:c r="L191" s="3" t="str">
        <x:v>实现路径存在，待执行验收</x:v>
      </x:c>
      <x:c r="M191" s="12" t="str">
        <x:v>未执行</x:v>
      </x:c>
      <x:c r="N191" s="12" t="str"/>
      <x:c r="O191" s="12" t="str"/>
      <x:c r="P191" s="12" t="str"/>
    </x:row>
    <x:row r="192" ht="57" customHeight="1">
      <x:c r="A192" s="3" t="str">
        <x:v>EXP-010</x:v>
      </x:c>
      <x:c r="B192" s="3" t="str">
        <x:v>Expert 专家管理</x:v>
      </x:c>
      <x:c r="C192" s="3" t="str">
        <x:v>搜索和标签筛选</x:v>
      </x:c>
      <x:c r="D192" s="3" t="str">
        <x:v>P2</x:v>
      </x:c>
      <x:c r="E192" s="3" t="str">
        <x:v>交互</x:v>
      </x:c>
      <x:c r="F192" s="3" t="str">
        <x:v>Web + API + DB + recording Executor</x:v>
      </x:c>
      <x:c r="G192" s="3" t="str">
        <x:v>A/B 已登录；准备一份完整 Expert、迁移后不完整 Expert 和一个引用团队。</x:v>
      </x:c>
      <x:c r="H192" s="3" t="str">
        <x:v>多个名称、介绍、标签不同的 Expert</x:v>
      </x:c>
      <x:c r="I192" s="3" t="str">
        <x:v>1. 输入搜索词
2. 添加/清除标签筛选
3. 查看空态</x:v>
      </x:c>
      <x:c r="J192" s="3" t="str">
        <x:v>1. 筛选结果与当前条件一致
2. 空结果可清除筛选
3. 不泄漏他人资源</x:v>
      </x:c>
      <x:c r="K192" s="3" t="str">
        <x:v>S01;S03;S11</x:v>
      </x:c>
      <x:c r="L192" s="3" t="str">
        <x:v>实现路径存在，待执行验收</x:v>
      </x:c>
      <x:c r="M192" s="12" t="str">
        <x:v>未执行</x:v>
      </x:c>
      <x:c r="N192" s="12" t="str"/>
      <x:c r="O192" s="12" t="str"/>
      <x:c r="P192" s="12" t="str"/>
    </x:row>
    <x:row r="193" ht="57" customHeight="1">
      <x:c r="A193" s="3" t="str">
        <x:v>EXP-011</x:v>
      </x:c>
      <x:c r="B193" s="3" t="str">
        <x:v>Expert 专家管理</x:v>
      </x:c>
      <x:c r="C193" s="3" t="str">
        <x:v>目录详情与召唤分离</x:v>
      </x:c>
      <x:c r="D193" s="3" t="str">
        <x:v>P1</x:v>
      </x:c>
      <x:c r="E193" s="3" t="str">
        <x:v>交互</x:v>
      </x:c>
      <x:c r="F193" s="3" t="str">
        <x:v>Web + API + DB + recording Executor</x:v>
      </x:c>
      <x:c r="G193" s="3" t="str">
        <x:v>A/B 已登录；准备一份完整 Expert、迁移后不完整 Expert 和一个引用团队。</x:v>
      </x:c>
      <x:c r="H193" s="3" t="str">
        <x:v>有效 Expert 卡片</x:v>
      </x:c>
      <x:c r="I193" s="3" t="str">
        <x:v>1. 点卡片正文
2. 关闭详情
3. 点召唤</x:v>
      </x:c>
      <x:c r="J193" s="3" t="str">
        <x:v>1. 正文打开只读详情
2. 召唤只开预选专家的新 Session
3. 不会同时触发两个动作</x:v>
      </x:c>
      <x:c r="K193" s="3" t="str">
        <x:v>S01;S03;S11</x:v>
      </x:c>
      <x:c r="L193" s="3" t="str">
        <x:v>实现路径存在，待执行验收</x:v>
      </x:c>
      <x:c r="M193" s="12" t="str">
        <x:v>未执行</x:v>
      </x:c>
      <x:c r="N193" s="12" t="str"/>
      <x:c r="O193" s="12" t="str"/>
      <x:c r="P193" s="12" t="str"/>
    </x:row>
    <x:row r="194" ht="57" customHeight="1">
      <x:c r="A194" s="3" t="str">
        <x:v>EXP-012</x:v>
      </x:c>
      <x:c r="B194" s="3" t="str">
        <x:v>Expert 专家管理</x:v>
      </x:c>
      <x:c r="C194" s="3" t="str">
        <x:v>详情显示关联资源</x:v>
      </x:c>
      <x:c r="D194" s="3" t="str">
        <x:v>P1</x:v>
      </x:c>
      <x:c r="E194" s="3" t="str">
        <x:v>正向</x:v>
      </x:c>
      <x:c r="F194" s="3" t="str">
        <x:v>Web + API + DB + recording Executor</x:v>
      </x:c>
      <x:c r="G194" s="3" t="str">
        <x:v>A/B 已登录；准备一份完整 Expert、迁移后不完整 Expert 和一个引用团队。</x:v>
      </x:c>
      <x:c r="H194" s="3" t="str">
        <x:v>Expert 关联 S1/C1</x:v>
      </x:c>
      <x:c r="I194" s="3" t="str">
        <x:v>1. 打开详情
2. 查看结构化指导及 Skills/Connectors
3. 跳编辑</x:v>
      </x:c>
      <x:c r="J194" s="3" t="str">
        <x:v>1. 显示完整可见配置
2. Secret 不回显
3. 编辑进入该 Expert 编辑页</x:v>
      </x:c>
      <x:c r="K194" s="3" t="str">
        <x:v>S01;S03;S11</x:v>
      </x:c>
      <x:c r="L194" s="3" t="str">
        <x:v>实现路径存在，待执行验收</x:v>
      </x:c>
      <x:c r="M194" s="12" t="str">
        <x:v>未执行</x:v>
      </x:c>
      <x:c r="N194" s="12" t="str"/>
      <x:c r="O194" s="12" t="str"/>
      <x:c r="P194" s="12" t="str"/>
    </x:row>
    <x:row r="195" ht="57" customHeight="1">
      <x:c r="A195" s="3" t="str">
        <x:v>EXP-013</x:v>
      </x:c>
      <x:c r="B195" s="3" t="str">
        <x:v>Expert 专家管理</x:v>
      </x:c>
      <x:c r="C195" s="3" t="str">
        <x:v>内联安装 Skill 自动选中</x:v>
      </x:c>
      <x:c r="D195" s="3" t="str">
        <x:v>P1</x:v>
      </x:c>
      <x:c r="E195" s="3" t="str">
        <x:v>正向</x:v>
      </x:c>
      <x:c r="F195" s="3" t="str">
        <x:v>Web + API + DB + recording Executor</x:v>
      </x:c>
      <x:c r="G195" s="3" t="str">
        <x:v>A/B 已登录；准备一份完整 Expert、迁移后不完整 Expert 和一个引用团队。</x:v>
      </x:c>
      <x:c r="H195" s="3" t="str">
        <x:v>编辑 Expert 且未安装目标 Skill</x:v>
      </x:c>
      <x:c r="I195" s="3" t="str">
        <x:v>1. 内联上传或 Git 安装
2. 保存 Expert
3. 查看全局目录</x:v>
      </x:c>
      <x:c r="J195" s="3" t="str">
        <x:v>1. 资源成为本 User 私有目录资源
2. 编辑器自动选中
3. 不会生成孤立引用</x:v>
      </x:c>
      <x:c r="K195" s="3" t="str">
        <x:v>S01;S03;S11</x:v>
      </x:c>
      <x:c r="L195" s="3" t="str">
        <x:v>实现路径存在，待执行验收</x:v>
      </x:c>
      <x:c r="M195" s="12" t="str">
        <x:v>未执行</x:v>
      </x:c>
      <x:c r="N195" s="12" t="str"/>
      <x:c r="O195" s="12" t="str"/>
      <x:c r="P195" s="12" t="str"/>
    </x:row>
    <x:row r="196" ht="57" customHeight="1">
      <x:c r="A196" s="3" t="str">
        <x:v>EXP-014</x:v>
      </x:c>
      <x:c r="B196" s="3" t="str">
        <x:v>Expert 专家管理</x:v>
      </x:c>
      <x:c r="C196" s="3" t="str">
        <x:v>内联创建测试 MCP</x:v>
      </x:c>
      <x:c r="D196" s="3" t="str">
        <x:v>P1</x:v>
      </x:c>
      <x:c r="E196" s="3" t="str">
        <x:v>正向</x:v>
      </x:c>
      <x:c r="F196" s="3" t="str">
        <x:v>Web + API + DB + recording Executor</x:v>
      </x:c>
      <x:c r="G196" s="3" t="str">
        <x:v>A/B 已登录；准备一份完整 Expert、迁移后不完整 Expert 和一个引用团队。</x:v>
      </x:c>
      <x:c r="H196" s="3" t="str">
        <x:v>编辑 Expert 中新增 MCP</x:v>
      </x:c>
      <x:c r="I196" s="3" t="str">
        <x:v>1. 创建配置并测试成功
2. 自动选择
3. 保存</x:v>
      </x:c>
      <x:c r="J196" s="3" t="str">
        <x:v>1. 仅测试可用的 Connector 可选择
2. 目录同步出现且归当前用户</x:v>
      </x:c>
      <x:c r="K196" s="3" t="str">
        <x:v>S01;S03;S11</x:v>
      </x:c>
      <x:c r="L196" s="3" t="str">
        <x:v>实现路径存在，待执行验收</x:v>
      </x:c>
      <x:c r="M196" s="12" t="str">
        <x:v>未执行</x:v>
      </x:c>
      <x:c r="N196" s="12" t="str">
        <x:v>部分步骤证据：E2E-043 失败。完整结果见“E2E执行”。未执行全部原用例步骤，不据此标记整条通过。</x:v>
      </x:c>
      <x:c r="O196" s="12" t="str"/>
      <x:c r="P196" s="12" t="str">
        <x:v>Codex / 2026-09-06 17:21 Asia/Shanghai</x:v>
      </x:c>
    </x:row>
    <x:row r="197" ht="57" customHeight="1">
      <x:c r="A197" s="3" t="str">
        <x:v>EXP-015</x:v>
      </x:c>
      <x:c r="B197" s="3" t="str">
        <x:v>Expert 专家管理</x:v>
      </x:c>
      <x:c r="C197" s="3" t="str">
        <x:v>编辑不改历史快照</x:v>
      </x:c>
      <x:c r="D197" s="3" t="str">
        <x:v>P0</x:v>
      </x:c>
      <x:c r="E197" s="3" t="str">
        <x:v>快照</x:v>
      </x:c>
      <x:c r="F197" s="3" t="str">
        <x:v>Web + API + DB + recording Executor</x:v>
      </x:c>
      <x:c r="G197" s="3" t="str">
        <x:v>A/B 已登录；准备一份完整 Expert、迁移后不完整 Expert 和一个引用团队。</x:v>
      </x:c>
      <x:c r="H197" s="3" t="str">
        <x:v>已接受消息使用 Expert v1</x:v>
      </x:c>
      <x:c r="I197" s="3" t="str">
        <x:v>1. 修改指导为 v2
2. 重试旧消息
3. 明确重新选择后新发</x:v>
      </x:c>
      <x:c r="J197" s="3" t="str">
        <x:v>1. 历史重试使用 v1
2. 新选择才采用 v2
3. 不改过去回复身份</x:v>
      </x:c>
      <x:c r="K197" s="3" t="str">
        <x:v>S01;S03;S11</x:v>
      </x:c>
      <x:c r="L197" s="3" t="str">
        <x:v>实现路径存在，待执行验收</x:v>
      </x:c>
      <x:c r="M197" s="12" t="str">
        <x:v>未执行</x:v>
      </x:c>
      <x:c r="N197" s="12" t="str">
        <x:v>部分步骤证据：E2E-009 通过。完整结果见“E2E执行”。未执行全部原用例步骤，不据此标记整条通过。</x:v>
      </x:c>
      <x:c r="O197" s="12" t="str"/>
      <x:c r="P197" s="12" t="str">
        <x:v>Codex / 2026-09-06 17:21 Asia/Shanghai</x:v>
      </x:c>
    </x:row>
    <x:row r="198" ht="57" customHeight="1">
      <x:c r="A198" s="3" t="str">
        <x:v>EXP-016</x:v>
      </x:c>
      <x:c r="B198" s="3" t="str">
        <x:v>Expert 专家管理</x:v>
      </x:c>
      <x:c r="C198" s="3" t="str">
        <x:v>团队引用阻止删除 Expert</x:v>
      </x:c>
      <x:c r="D198" s="3" t="str">
        <x:v>P0</x:v>
      </x:c>
      <x:c r="E198" s="3" t="str">
        <x:v>依赖</x:v>
      </x:c>
      <x:c r="F198" s="3" t="str">
        <x:v>Web + API + DB + recording Executor</x:v>
      </x:c>
      <x:c r="G198" s="3" t="str">
        <x:v>A/B 已登录；准备一份完整 Expert、迁移后不完整 Expert 和一个引用团队。</x:v>
      </x:c>
      <x:c r="H198" s="3" t="str">
        <x:v>可变 Expert Team 引用 E1</x:v>
      </x:c>
      <x:c r="I198" s="3" t="str">
        <x:v>1. 删除 E1
2. 查看冲突
3. 先解除团队引用后再删</x:v>
      </x:c>
      <x:c r="J198" s="3" t="str">
        <x:v>1. 存在可变团队引用时拒绝
2. 解除后允许
3. 历史快照本身不阻止删除</x:v>
      </x:c>
      <x:c r="K198" s="3" t="str">
        <x:v>S01;S03;S11</x:v>
      </x:c>
      <x:c r="L198" s="3" t="str">
        <x:v>实现路径存在，待执行验收</x:v>
      </x:c>
      <x:c r="M198" s="12" t="str">
        <x:v>未执行</x:v>
      </x:c>
      <x:c r="N198" s="12" t="str"/>
      <x:c r="O198" s="12" t="str"/>
      <x:c r="P198" s="12" t="str"/>
    </x:row>
    <x:row r="199" ht="57" customHeight="1">
      <x:c r="A199" s="3" t="str">
        <x:v>EXP-017</x:v>
      </x:c>
      <x:c r="B199" s="3" t="str">
        <x:v>Expert 专家管理</x:v>
      </x:c>
      <x:c r="C199" s="3" t="str">
        <x:v>不完整迁移 Expert 只编辑</x:v>
      </x:c>
      <x:c r="D199" s="3" t="str">
        <x:v>P0</x:v>
      </x:c>
      <x:c r="E199" s="3" t="str">
        <x:v>兼容</x:v>
      </x:c>
      <x:c r="F199" s="3" t="str">
        <x:v>Web + API + DB + recording Executor</x:v>
      </x:c>
      <x:c r="G199" s="3" t="str">
        <x:v>A/B 已登录；准备一份完整 Expert、迁移后不完整 Expert 和一个引用团队。</x:v>
      </x:c>
      <x:c r="H199" s="3" t="str">
        <x:v>旧 Expert 缺 Core Capability/Output Standard</x:v>
      </x:c>
      <x:c r="I199" s="3" t="str">
        <x:v>1. 查看列表和选择器
2. 补齐字段保存
3. 再选择</x:v>
      </x:c>
      <x:c r="J199" s="3" t="str">
        <x:v>1. 保持可见可编辑但补齐前不能新选执行
2. 完成后恢复可用</x:v>
      </x:c>
      <x:c r="K199" s="3" t="str">
        <x:v>S01;S03;S11</x:v>
      </x:c>
      <x:c r="L199" s="3" t="str">
        <x:v>实现路径存在，待执行验收</x:v>
      </x:c>
      <x:c r="M199" s="12" t="str">
        <x:v>未执行</x:v>
      </x:c>
      <x:c r="N199" s="12" t="str"/>
      <x:c r="O199" s="12" t="str"/>
      <x:c r="P199" s="12" t="str"/>
    </x:row>
    <x:row r="200" ht="42" customHeight="1">
      <x:c r="A200" s="3" t="str">
        <x:v>EXP-018</x:v>
      </x:c>
      <x:c r="B200" s="3" t="str">
        <x:v>Expert 专家管理</x:v>
      </x:c>
      <x:c r="C200" s="3" t="str">
        <x:v>隐藏旧字段与概念</x:v>
      </x:c>
      <x:c r="D200" s="3" t="str">
        <x:v>P1</x:v>
      </x:c>
      <x:c r="E200" s="3" t="str">
        <x:v>兼容</x:v>
      </x:c>
      <x:c r="F200" s="3" t="str">
        <x:v>Web + API + DB + recording Executor</x:v>
      </x:c>
      <x:c r="G200" s="3" t="str">
        <x:v>A/B 已登录；准备一份完整 Expert、迁移后不完整 Expert 和一个引用团队。</x:v>
      </x:c>
      <x:c r="H200" s="3" t="str">
        <x:v>当前 Expert 公共 API 和编辑页面</x:v>
      </x:c>
      <x:c r="I200" s="3" t="str">
        <x:v>1. 检查表单和请求字段
2. 尝试旧 description/执行配置参数</x:v>
      </x:c>
      <x:c r="J200" s="3" t="str">
        <x:v>1. 新 UI/公开合同不提供旧字段和手写标签管理
2. 历史读取兼容不等于新配置支持</x:v>
      </x:c>
      <x:c r="K200" s="3" t="str">
        <x:v>S01;S03;S11</x:v>
      </x:c>
      <x:c r="L200" s="3" t="str">
        <x:v>实现路径存在，待执行验收</x:v>
      </x:c>
      <x:c r="M200" s="12" t="str">
        <x:v>未执行</x:v>
      </x:c>
      <x:c r="N200" s="12" t="str"/>
      <x:c r="O200" s="12" t="str"/>
      <x:c r="P200" s="12" t="str"/>
    </x:row>
    <x:row r="201" ht="57" customHeight="1">
      <x:c r="A201" s="3" t="str">
        <x:v>TEAM-001</x:v>
      </x:c>
      <x:c r="B201" s="3" t="str">
        <x:v>Expert Team 协作</x:v>
      </x:c>
      <x:c r="C201" s="3" t="str">
        <x:v>创建两成员团队</x:v>
      </x:c>
      <x:c r="D201" s="3" t="str">
        <x:v>P0</x:v>
      </x:c>
      <x:c r="E201" s="3" t="str">
        <x:v>正向</x:v>
      </x:c>
      <x:c r="F201" s="3" t="str">
        <x:v>Web + API + DB + Executor；实际协作用 E2</x:v>
      </x:c>
      <x:c r="G201" s="3" t="str">
        <x:v>准备完整 E1/E2、两名稳定成员 M1/M2，以及可记录指令和状态的 Executor。</x:v>
      </x:c>
      <x:c r="H201" s="3" t="str">
        <x:v>名称、介绍、团队能力；M1=起草/M2=校对</x:v>
      </x:c>
      <x:c r="I201" s="3" t="str">
        <x:v>1. 填写团队资料和成员
2. 保存
3. 查看卡片与选择器</x:v>
      </x:c>
      <x:c r="J201" s="3" t="str">
        <x:v>1. 两名有稳定 ID 的有序成员
2. 卡片显示每轮专家数
3. 模型/Runtime 不属于团队</x:v>
      </x:c>
      <x:c r="K201" s="3" t="str">
        <x:v>S01;S03;S11;S12</x:v>
      </x:c>
      <x:c r="L201" s="3" t="str">
        <x:v>实现路径存在，待执行验收</x:v>
      </x:c>
      <x:c r="M201" s="12" t="str">
        <x:v>未执行</x:v>
      </x:c>
      <x:c r="N201" s="12" t="str">
        <x:v>部分步骤证据：E2E-012 通过；E2E-044 失败。完整结果见“E2E执行”。未执行全部原用例步骤，不据此标记整条通过。</x:v>
      </x:c>
      <x:c r="O201" s="12" t="str"/>
      <x:c r="P201" s="12" t="str">
        <x:v>Codex / 2026-09-06 17:21 Asia/Shanghai</x:v>
      </x:c>
    </x:row>
    <x:row r="202" ht="42" customHeight="1">
      <x:c r="A202" s="3" t="str">
        <x:v>TEAM-002</x:v>
      </x:c>
      <x:c r="B202" s="3" t="str">
        <x:v>Expert Team 协作</x:v>
      </x:c>
      <x:c r="C202" s="3" t="str">
        <x:v>成员数量上下界</x:v>
      </x:c>
      <x:c r="D202" s="3" t="str">
        <x:v>P1</x:v>
      </x:c>
      <x:c r="E202" s="3" t="str">
        <x:v>边界</x:v>
      </x:c>
      <x:c r="F202" s="3" t="str">
        <x:v>Web + API + DB + Executor；实际协作用 E2</x:v>
      </x:c>
      <x:c r="G202" s="3" t="str">
        <x:v>准备完整 E1/E2、两名稳定成员 M1/M2，以及可记录指令和状态的 Executor。</x:v>
      </x:c>
      <x:c r="H202" s="3" t="str">
        <x:v>1、2、10、11 名有效成员</x:v>
      </x:c>
      <x:c r="I202" s="3" t="str">
        <x:v>1. 逐组提交保存并尝试选择</x:v>
      </x:c>
      <x:c r="J202" s="3" t="str">
        <x:v>1. 2–10 名有效成员满足执行条件
2. 少于 2 或超过 10 不能作为有效团队执行</x:v>
      </x:c>
      <x:c r="K202" s="3" t="str">
        <x:v>S01;S03;S11;S12</x:v>
      </x:c>
      <x:c r="L202" s="3" t="str">
        <x:v>实现路径存在，待执行验收</x:v>
      </x:c>
      <x:c r="M202" s="12" t="str">
        <x:v>未执行</x:v>
      </x:c>
      <x:c r="N202" s="12" t="str"/>
      <x:c r="O202" s="12" t="str"/>
      <x:c r="P202" s="12" t="str"/>
    </x:row>
    <x:row r="203" ht="57" customHeight="1">
      <x:c r="A203" s="3" t="str">
        <x:v>TEAM-003</x:v>
      </x:c>
      <x:c r="B203" s="3" t="str">
        <x:v>Expert Team 协作</x:v>
      </x:c>
      <x:c r="C203" s="3" t="str">
        <x:v>同 Expert 的不同角色</x:v>
      </x:c>
      <x:c r="D203" s="3" t="str">
        <x:v>P0</x:v>
      </x:c>
      <x:c r="E203" s="3" t="str">
        <x:v>隔离</x:v>
      </x:c>
      <x:c r="F203" s="3" t="str">
        <x:v>Web + API + DB + Executor；实际协作用 E2</x:v>
      </x:c>
      <x:c r="G203" s="3" t="str">
        <x:v>准备完整 E1/E2、两名稳定成员 M1/M2，以及可记录指令和状态的 Executor。</x:v>
      </x:c>
      <x:c r="H203" s="3" t="str">
        <x:v>M1/M2 均引用 E1，角色名不同</x:v>
      </x:c>
      <x:c r="I203" s="3" t="str">
        <x:v>1. 保存团队
2. 执行一轮
3. 查看成员与 Runtime 上下文</x:v>
      </x:c>
      <x:c r="J203" s="3" t="str">
        <x:v>1. 允许重复引用 Expert
2. 成员稳定身份不同
3. 执行上下文独立</x:v>
      </x:c>
      <x:c r="K203" s="3" t="str">
        <x:v>S01;S03;S11;S12</x:v>
      </x:c>
      <x:c r="L203" s="3" t="str">
        <x:v>实现路径存在，待执行验收</x:v>
      </x:c>
      <x:c r="M203" s="12" t="str">
        <x:v>未执行</x:v>
      </x:c>
      <x:c r="N203" s="12" t="str"/>
      <x:c r="O203" s="12" t="str"/>
      <x:c r="P203" s="12" t="str"/>
    </x:row>
    <x:row r="204" ht="42" customHeight="1">
      <x:c r="A204" s="3" t="str">
        <x:v>TEAM-004</x:v>
      </x:c>
      <x:c r="B204" s="3" t="str">
        <x:v>Expert Team 协作</x:v>
      </x:c>
      <x:c r="C204" s="3" t="str">
        <x:v>重复成员名与空角色拒绝</x:v>
      </x:c>
      <x:c r="D204" s="3" t="str">
        <x:v>P1</x:v>
      </x:c>
      <x:c r="E204" s="3" t="str">
        <x:v>边界</x:v>
      </x:c>
      <x:c r="F204" s="3" t="str">
        <x:v>Web + API + DB + Executor；实际协作用 E2</x:v>
      </x:c>
      <x:c r="G204" s="3" t="str">
        <x:v>准备完整 E1/E2、两名稳定成员 M1/M2，以及可记录指令和状态的 Executor。</x:v>
      </x:c>
      <x:c r="H204" s="3" t="str">
        <x:v>两成员同名、空白名称、无 Expert 引用</x:v>
      </x:c>
      <x:c r="I204" s="3" t="str">
        <x:v>1. 逐组保存
2. 检查数据</x:v>
      </x:c>
      <x:c r="J204" s="3" t="str">
        <x:v>1. 成员角色需可识别且团队内唯一
2. 无效成员不能进入可执行快照</x:v>
      </x:c>
      <x:c r="K204" s="3" t="str">
        <x:v>S01;S03;S11;S12</x:v>
      </x:c>
      <x:c r="L204" s="3" t="str">
        <x:v>实现路径存在，待执行验收</x:v>
      </x:c>
      <x:c r="M204" s="12" t="str">
        <x:v>未执行</x:v>
      </x:c>
      <x:c r="N204" s="12" t="str"/>
      <x:c r="O204" s="12" t="str"/>
      <x:c r="P204" s="12" t="str"/>
    </x:row>
    <x:row r="205" ht="42" customHeight="1">
      <x:c r="A205" s="3" t="str">
        <x:v>TEAM-005</x:v>
      </x:c>
      <x:c r="B205" s="3" t="str">
        <x:v>Expert Team 协作</x:v>
      </x:c>
      <x:c r="C205" s="3" t="str">
        <x:v>成员标签数量长度</x:v>
      </x:c>
      <x:c r="D205" s="3" t="str">
        <x:v>P1</x:v>
      </x:c>
      <x:c r="E205" s="3" t="str">
        <x:v>边界</x:v>
      </x:c>
      <x:c r="F205" s="3" t="str">
        <x:v>Web + API + DB + Executor；实际协作用 E2</x:v>
      </x:c>
      <x:c r="G205" s="3" t="str">
        <x:v>准备完整 E1/E2、两名稳定成员 M1/M2，以及可记录指令和状态的 Executor。</x:v>
      </x:c>
      <x:c r="H205" s="3" t="str">
        <x:v>0/5/6 个标签；20/21 字符标签</x:v>
      </x:c>
      <x:c r="I205" s="3" t="str">
        <x:v>1. 逐组填写标签保存
2. 查看错误和正常值</x:v>
      </x:c>
      <x:c r="J205" s="3" t="str">
        <x:v>1. 允许 0–5 个且每个至多 20 字符
2. 超限明确拒绝</x:v>
      </x:c>
      <x:c r="K205" s="3" t="str">
        <x:v>S01;S03;S11;S12</x:v>
      </x:c>
      <x:c r="L205" s="3" t="str">
        <x:v>实现路径存在，待执行验收</x:v>
      </x:c>
      <x:c r="M205" s="12" t="str">
        <x:v>未执行</x:v>
      </x:c>
      <x:c r="N205" s="12" t="str"/>
      <x:c r="O205" s="12" t="str"/>
      <x:c r="P205" s="12" t="str"/>
    </x:row>
    <x:row r="206" ht="57" customHeight="1">
      <x:c r="A206" s="3" t="str">
        <x:v>TEAM-006</x:v>
      </x:c>
      <x:c r="B206" s="3" t="str">
        <x:v>Expert Team 协作</x:v>
      </x:c>
      <x:c r="C206" s="3" t="str">
        <x:v>排序不更换成员身份</x:v>
      </x:c>
      <x:c r="D206" s="3" t="str">
        <x:v>P0</x:v>
      </x:c>
      <x:c r="E206" s="3" t="str">
        <x:v>快照</x:v>
      </x:c>
      <x:c r="F206" s="3" t="str">
        <x:v>Web + API + DB + Executor；实际协作用 E2</x:v>
      </x:c>
      <x:c r="G206" s="3" t="str">
        <x:v>准备完整 E1/E2、两名稳定成员 M1/M2，以及可记录指令和状态的 Executor。</x:v>
      </x:c>
      <x:c r="H206" s="3" t="str">
        <x:v>M1/M2/M3</x:v>
      </x:c>
      <x:c r="I206" s="3" t="str">
        <x:v>1. 拖拽排序再用上移下移
2. 保存
3. 比较 member ID</x:v>
      </x:c>
      <x:c r="J206" s="3" t="str">
        <x:v>1. 顺序改变但稳定身份保留
2. 历史快照原顺序不变</x:v>
      </x:c>
      <x:c r="K206" s="3" t="str">
        <x:v>S01;S03;S11;S12</x:v>
      </x:c>
      <x:c r="L206" s="3" t="str">
        <x:v>实现路径存在，待执行验收</x:v>
      </x:c>
      <x:c r="M206" s="12" t="str">
        <x:v>未执行</x:v>
      </x:c>
      <x:c r="N206" s="12" t="str">
        <x:v>部分步骤证据：E2E-012 通过；E2E-044 失败。完整结果见“E2E执行”。未执行全部原用例步骤，不据此标记整条通过。</x:v>
      </x:c>
      <x:c r="O206" s="12" t="str"/>
      <x:c r="P206" s="12" t="str">
        <x:v>Codex / 2026-09-06 17:21 Asia/Shanghai</x:v>
      </x:c>
    </x:row>
    <x:row r="207" ht="42" customHeight="1">
      <x:c r="A207" s="3" t="str">
        <x:v>TEAM-007</x:v>
      </x:c>
      <x:c r="B207" s="3" t="str">
        <x:v>Expert Team 协作</x:v>
      </x:c>
      <x:c r="C207" s="3" t="str">
        <x:v>角色与标签可见注入</x:v>
      </x:c>
      <x:c r="D207" s="3" t="str">
        <x:v>P0</x:v>
      </x:c>
      <x:c r="E207" s="3" t="str">
        <x:v>契约</x:v>
      </x:c>
      <x:c r="F207" s="3" t="str">
        <x:v>Web + API + DB + Executor；实际协作用 E2</x:v>
      </x:c>
      <x:c r="G207" s="3" t="str">
        <x:v>准备完整 E1/E2、两名稳定成员 M1/M2，以及可记录指令和状态的 Executor。</x:v>
      </x:c>
      <x:c r="H207" s="3" t="str">
        <x:v>成员名和标签各含唯一标记</x:v>
      </x:c>
      <x:c r="I207" s="3" t="str">
        <x:v>1. 执行团队
2. 检查每个 Stage 指令</x:v>
      </x:c>
      <x:c r="J207" s="3" t="str">
        <x:v>1. 成员角色放在自身 Expert 指导前
2. 团队 Introduction/Core Capability 不作为指导注入</x:v>
      </x:c>
      <x:c r="K207" s="3" t="str">
        <x:v>S01;S03;S11;S12</x:v>
      </x:c>
      <x:c r="L207" s="3" t="str">
        <x:v>实现路径存在，待执行验收</x:v>
      </x:c>
      <x:c r="M207" s="12" t="str">
        <x:v>未执行</x:v>
      </x:c>
      <x:c r="N207" s="12" t="str"/>
      <x:c r="O207" s="12" t="str"/>
      <x:c r="P207" s="12" t="str"/>
    </x:row>
    <x:row r="208" ht="57" customHeight="1">
      <x:c r="A208" s="3" t="str">
        <x:v>TEAM-008</x:v>
      </x:c>
      <x:c r="B208" s="3" t="str">
        <x:v>Expert Team 协作</x:v>
      </x:c>
      <x:c r="C208" s="3" t="str">
        <x:v>按成员顺序串行</x:v>
      </x:c>
      <x:c r="D208" s="3" t="str">
        <x:v>P0</x:v>
      </x:c>
      <x:c r="E208" s="3" t="str">
        <x:v>执行</x:v>
      </x:c>
      <x:c r="F208" s="3" t="str">
        <x:v>Web + API + DB + Executor；实际协作用 E2</x:v>
      </x:c>
      <x:c r="G208" s="3" t="str">
        <x:v>准备完整 E1/E2、两名稳定成员 M1/M2，以及可记录指令和状态的 Executor。</x:v>
      </x:c>
      <x:c r="H208" s="3" t="str">
        <x:v>M1 输出草稿，M2 输出审阅最终稿</x:v>
      </x:c>
      <x:c r="I208" s="3" t="str">
        <x:v>1. 运行团队
2. 记录开始/结束时间
3. 查看正式响应</x:v>
      </x:c>
      <x:c r="J208" s="3" t="str">
        <x:v>1. M1 完成后才开始 M2
2. 最终成员结果作为唯一正式响应</x:v>
      </x:c>
      <x:c r="K208" s="3" t="str">
        <x:v>S01;S03;S11;S12</x:v>
      </x:c>
      <x:c r="L208" s="3" t="str">
        <x:v>实现路径存在，待执行验收</x:v>
      </x:c>
      <x:c r="M208" s="12" t="str">
        <x:v>未执行</x:v>
      </x:c>
      <x:c r="N208" s="12" t="str"/>
      <x:c r="O208" s="12" t="str"/>
      <x:c r="P208" s="12" t="str"/>
    </x:row>
    <x:row r="209" ht="42" customHeight="1">
      <x:c r="A209" s="3" t="str">
        <x:v>TEAM-009</x:v>
      </x:c>
      <x:c r="B209" s="3" t="str">
        <x:v>Expert Team 协作</x:v>
      </x:c>
      <x:c r="C209" s="3" t="str">
        <x:v>前序结果和附件传递</x:v>
      </x:c>
      <x:c r="D209" s="3" t="str">
        <x:v>P0</x:v>
      </x:c>
      <x:c r="E209" s="3" t="str">
        <x:v>连续性</x:v>
      </x:c>
      <x:c r="F209" s="3" t="str">
        <x:v>Web + API + DB + Executor；实际协作用 E2</x:v>
      </x:c>
      <x:c r="G209" s="3" t="str">
        <x:v>准备完整 E1/E2、两名稳定成员 M1/M2，以及可记录指令和状态的 Executor。</x:v>
      </x:c>
      <x:c r="H209" s="3" t="str">
        <x:v>任务含附件和 File Reference；M1 输出唯一文本</x:v>
      </x:c>
      <x:c r="I209" s="3" t="str">
        <x:v>1. 运行 M1/M2
2. 检查 M2 输入</x:v>
      </x:c>
      <x:c r="J209" s="3" t="str">
        <x:v>1. 包含当前任务、平台上下文、附件和此前成员 final text
2. 不传递私有推理及 raw tool logs</x:v>
      </x:c>
      <x:c r="K209" s="3" t="str">
        <x:v>S01;S03;S11;S12</x:v>
      </x:c>
      <x:c r="L209" s="3" t="str">
        <x:v>实现路径存在，待执行验收</x:v>
      </x:c>
      <x:c r="M209" s="12" t="str">
        <x:v>未执行</x:v>
      </x:c>
      <x:c r="N209" s="12" t="str"/>
      <x:c r="O209" s="12" t="str"/>
      <x:c r="P209" s="12" t="str"/>
    </x:row>
    <x:row r="210" ht="42" customHeight="1">
      <x:c r="A210" s="3" t="str">
        <x:v>TEAM-010</x:v>
      </x:c>
      <x:c r="B210" s="3" t="str">
        <x:v>Expert Team 协作</x:v>
      </x:c>
      <x:c r="C210" s="3" t="str">
        <x:v>成员默认资源隔离</x:v>
      </x:c>
      <x:c r="D210" s="3" t="str">
        <x:v>P0</x:v>
      </x:c>
      <x:c r="E210" s="3" t="str">
        <x:v>隔离</x:v>
      </x:c>
      <x:c r="F210" s="3" t="str">
        <x:v>Web + API + DB + Executor；实际协作用 E2</x:v>
      </x:c>
      <x:c r="G210" s="3" t="str">
        <x:v>准备完整 E1/E2、两名稳定成员 M1/M2，以及可记录指令和状态的 Executor。</x:v>
      </x:c>
      <x:c r="H210" s="3" t="str">
        <x:v>M1 仅 S1/C1；M2 仅 S2/C2</x:v>
      </x:c>
      <x:c r="I210" s="3" t="str">
        <x:v>1. 执行团队
2. 捕获各自工具与 Skill 列表</x:v>
      </x:c>
      <x:c r="J210" s="3" t="str">
        <x:v>1. 每个成员仅获自身默认资源
2. 显式公共添加除外</x:v>
      </x:c>
      <x:c r="K210" s="3" t="str">
        <x:v>S01;S03;S11;S12</x:v>
      </x:c>
      <x:c r="L210" s="3" t="str">
        <x:v>实现路径存在，待执行验收</x:v>
      </x:c>
      <x:c r="M210" s="12" t="str">
        <x:v>未执行</x:v>
      </x:c>
      <x:c r="N210" s="12" t="str"/>
      <x:c r="O210" s="12" t="str"/>
      <x:c r="P210" s="12" t="str"/>
    </x:row>
    <x:row r="211" ht="42" customHeight="1">
      <x:c r="A211" s="3" t="str">
        <x:v>TEAM-011</x:v>
      </x:c>
      <x:c r="B211" s="3" t="str">
        <x:v>Expert Team 协作</x:v>
      </x:c>
      <x:c r="C211" s="3" t="str">
        <x:v>同一冻结模型及 Runtime</x:v>
      </x:c>
      <x:c r="D211" s="3" t="str">
        <x:v>P0</x:v>
      </x:c>
      <x:c r="E211" s="3" t="str">
        <x:v>快照</x:v>
      </x:c>
      <x:c r="F211" s="3" t="str">
        <x:v>Web + API + DB + Executor；实际协作用 E2</x:v>
      </x:c>
      <x:c r="G211" s="3" t="str">
        <x:v>准备完整 E1/E2、两名稳定成员 M1/M2，以及可记录指令和状态的 Executor。</x:v>
      </x:c>
      <x:c r="H211" s="3" t="str">
        <x:v>个人默认 R1/M1；团队定义无执行设置</x:v>
      </x:c>
      <x:c r="I211" s="3" t="str">
        <x:v>1. 启动后修改个人设置
2. 查看两个阶段执行身份</x:v>
      </x:c>
      <x:c r="J211" s="3" t="str">
        <x:v>1. 全部成员使用本轮冻结 R1/M1
2. 不在第二成员临时读取新默认</x:v>
      </x:c>
      <x:c r="K211" s="3" t="str">
        <x:v>S01;S03;S11;S12</x:v>
      </x:c>
      <x:c r="L211" s="3" t="str">
        <x:v>实现路径存在，待执行验收</x:v>
      </x:c>
      <x:c r="M211" s="12" t="str">
        <x:v>未执行</x:v>
      </x:c>
      <x:c r="N211" s="12" t="str"/>
      <x:c r="O211" s="12" t="str"/>
      <x:c r="P211" s="12" t="str"/>
    </x:row>
    <x:row r="212" ht="57" customHeight="1">
      <x:c r="A212" s="3" t="str">
        <x:v>TEAM-012</x:v>
      </x:c>
      <x:c r="B212" s="3" t="str">
        <x:v>Expert Team 协作</x:v>
      </x:c>
      <x:c r="C212" s="3" t="str">
        <x:v>中途失败立即停止</x:v>
      </x:c>
      <x:c r="D212" s="3" t="str">
        <x:v>P0</x:v>
      </x:c>
      <x:c r="E212" s="3" t="str">
        <x:v>状态</x:v>
      </x:c>
      <x:c r="F212" s="3" t="str">
        <x:v>Web + API + DB + Executor；实际协作用 E2</x:v>
      </x:c>
      <x:c r="G212" s="3" t="str">
        <x:v>准备完整 E1/E2、两名稳定成员 M1/M2，以及可记录指令和状态的 Executor。</x:v>
      </x:c>
      <x:c r="H212" s="3" t="str">
        <x:v>M1 成功，M2 失败，M3 尚未启动</x:v>
      </x:c>
      <x:c r="I212" s="3" t="str">
        <x:v>1. 运行三成员团队
2. 观察失败后的调用数</x:v>
      </x:c>
      <x:c r="J212" s="3" t="str">
        <x:v>1. M3 不启动
2. 整轮失败
3. 已经调用成员按实计费</x:v>
      </x:c>
      <x:c r="K212" s="3" t="str">
        <x:v>S01;S03;S11;S12</x:v>
      </x:c>
      <x:c r="L212" s="3" t="str">
        <x:v>实现路径存在，待执行验收</x:v>
      </x:c>
      <x:c r="M212" s="12" t="str">
        <x:v>未执行</x:v>
      </x:c>
      <x:c r="N212" s="12" t="str"/>
      <x:c r="O212" s="12" t="str"/>
      <x:c r="P212" s="12" t="str"/>
    </x:row>
    <x:row r="213" ht="57" customHeight="1">
      <x:c r="A213" s="3" t="str">
        <x:v>TEAM-013</x:v>
      </x:c>
      <x:c r="B213" s="3" t="str">
        <x:v>Expert Team 协作</x:v>
      </x:c>
      <x:c r="C213" s="3" t="str">
        <x:v>团队取消停止当前成员</x:v>
      </x:c>
      <x:c r="D213" s="3" t="str">
        <x:v>P0</x:v>
      </x:c>
      <x:c r="E213" s="3" t="str">
        <x:v>状态</x:v>
      </x:c>
      <x:c r="F213" s="3" t="str">
        <x:v>Web + API + DB + Executor；实际协作用 E2</x:v>
      </x:c>
      <x:c r="G213" s="3" t="str">
        <x:v>准备完整 E1/E2、两名稳定成员 M1/M2，以及可记录指令和状态的 Executor。</x:v>
      </x:c>
      <x:c r="H213" s="3" t="str">
        <x:v>M2 正在生成</x:v>
      </x:c>
      <x:c r="I213" s="3" t="str">
        <x:v>1. 点击停止
2. 检查 M2 进程与 M3</x:v>
      </x:c>
      <x:c r="J213" s="3" t="str">
        <x:v>1. 活动 Stage 被取消
2. 后续 Stage 不执行
3. 最终只一个取消终态</x:v>
      </x:c>
      <x:c r="K213" s="3" t="str">
        <x:v>S01;S03;S11;S12</x:v>
      </x:c>
      <x:c r="L213" s="3" t="str">
        <x:v>实现路径存在，待执行验收</x:v>
      </x:c>
      <x:c r="M213" s="12" t="str">
        <x:v>未执行</x:v>
      </x:c>
      <x:c r="N213" s="12" t="str"/>
      <x:c r="O213" s="12" t="str"/>
      <x:c r="P213" s="12" t="str"/>
    </x:row>
    <x:row r="214" ht="42" customHeight="1">
      <x:c r="A214" s="3" t="str">
        <x:v>TEAM-014</x:v>
      </x:c>
      <x:c r="B214" s="3" t="str">
        <x:v>Expert Team 协作</x:v>
      </x:c>
      <x:c r="C214" s="3" t="str">
        <x:v>团队失败回滚共享 Workspace</x:v>
      </x:c>
      <x:c r="D214" s="3" t="str">
        <x:v>P0</x:v>
      </x:c>
      <x:c r="E214" s="3" t="str">
        <x:v>一致性</x:v>
      </x:c>
      <x:c r="F214" s="3" t="str">
        <x:v>Web + API + DB + Executor；实际协作用 E2</x:v>
      </x:c>
      <x:c r="G214" s="3" t="str">
        <x:v>准备完整 E1/E2、两名稳定成员 M1/M2，以及可记录指令和状态的 Executor。</x:v>
      </x:c>
      <x:c r="H214" s="3" t="str">
        <x:v>M1 修改临时文件，M2 失败</x:v>
      </x:c>
      <x:c r="I214" s="3" t="str">
        <x:v>1. 运行 Workflow 团队
2. 读取持久 Workspace</x:v>
      </x:c>
      <x:c r="J214" s="3" t="str">
        <x:v>1. 所有本轮临时修改丢弃
2. 不得只合并成功成员的文件</x:v>
      </x:c>
      <x:c r="K214" s="3" t="str">
        <x:v>S01;S03;S11;S12</x:v>
      </x:c>
      <x:c r="L214" s="3" t="str">
        <x:v>实现路径存在，待执行验收</x:v>
      </x:c>
      <x:c r="M214" s="12" t="str">
        <x:v>未执行</x:v>
      </x:c>
      <x:c r="N214" s="12" t="str"/>
      <x:c r="O214" s="12" t="str"/>
      <x:c r="P214" s="12" t="str"/>
    </x:row>
    <x:row r="215" ht="42" customHeight="1">
      <x:c r="A215" s="3" t="str">
        <x:v>TEAM-015</x:v>
      </x:c>
      <x:c r="B215" s="3" t="str">
        <x:v>Expert Team 协作</x:v>
      </x:c>
      <x:c r="C215" s="3" t="str">
        <x:v>成功时原子晋升所有 Native State</x:v>
      </x:c>
      <x:c r="D215" s="3" t="str">
        <x:v>P0</x:v>
      </x:c>
      <x:c r="E215" s="3" t="str">
        <x:v>一致性</x:v>
      </x:c>
      <x:c r="F215" s="3" t="str">
        <x:v>Web + API + DB + Executor；实际协作用 E2</x:v>
      </x:c>
      <x:c r="G215" s="3" t="str">
        <x:v>准备完整 E1/E2、两名稳定成员 M1/M2，以及可记录指令和状态的 Executor。</x:v>
      </x:c>
      <x:c r="H215" s="3" t="str">
        <x:v>已具对应能力证据的 Runtime 和两个成员旧状态</x:v>
      </x:c>
      <x:c r="I215" s="3" t="str">
        <x:v>1. 团队成功并提交
2. 注入第二成员晋升失败重跑测试</x:v>
      </x:c>
      <x:c r="J215" s="3" t="str">
        <x:v>1. 全部状态一起晋升或全部回滚
2. 不会出现部分成员前进</x:v>
      </x:c>
      <x:c r="K215" s="3" t="str">
        <x:v>S01;S03;S11;S12</x:v>
      </x:c>
      <x:c r="L215" s="3" t="str">
        <x:v>能力依赖指定镜像；本轮未执行真实 Conformance</x:v>
      </x:c>
      <x:c r="M215" s="12" t="str">
        <x:v>未执行</x:v>
      </x:c>
      <x:c r="N215" s="12" t="str"/>
      <x:c r="O215" s="12" t="str"/>
      <x:c r="P215" s="12" t="str"/>
    </x:row>
    <x:row r="216" ht="57" customHeight="1">
      <x:c r="A216" s="3" t="str">
        <x:v>TEAM-016</x:v>
      </x:c>
      <x:c r="B216" s="3" t="str">
        <x:v>Expert Team 协作</x:v>
      </x:c>
      <x:c r="C216" s="3" t="str">
        <x:v>重试从整支团队重新开始</x:v>
      </x:c>
      <x:c r="D216" s="3" t="str">
        <x:v>P0</x:v>
      </x:c>
      <x:c r="E216" s="3" t="str">
        <x:v>快照</x:v>
      </x:c>
      <x:c r="F216" s="3" t="str">
        <x:v>Web + API + DB + Executor；实际协作用 E2</x:v>
      </x:c>
      <x:c r="G216" s="3" t="str">
        <x:v>准备完整 E1/E2、两名稳定成员 M1/M2，以及可记录指令和状态的 Executor。</x:v>
      </x:c>
      <x:c r="H216" s="3" t="str">
        <x:v>M1 成功、M2 失败后修改团队定义</x:v>
      </x:c>
      <x:c r="I216" s="3" t="str">
        <x:v>1. 点击原轮重试
2. 记录执行成员顺序和输入</x:v>
      </x:c>
      <x:c r="J216" s="3" t="str">
        <x:v>1. 重跑完整原冻结成员序列
2. 不从失败成员单独续跑
3. 成功前原 Native State 保持</x:v>
      </x:c>
      <x:c r="K216" s="3" t="str">
        <x:v>S01;S03;S11;S12</x:v>
      </x:c>
      <x:c r="L216" s="3" t="str">
        <x:v>实现路径存在，待执行验收</x:v>
      </x:c>
      <x:c r="M216" s="12" t="str">
        <x:v>未执行</x:v>
      </x:c>
      <x:c r="N216" s="12" t="str"/>
      <x:c r="O216" s="12" t="str"/>
      <x:c r="P216" s="12" t="str"/>
    </x:row>
    <x:row r="217" ht="57" customHeight="1">
      <x:c r="A217" s="3" t="str">
        <x:v>TEAM-017</x:v>
      </x:c>
      <x:c r="B217" s="3" t="str">
        <x:v>Expert Team 协作</x:v>
      </x:c>
      <x:c r="C217" s="3" t="str">
        <x:v>每成员开始前校验积分</x:v>
      </x:c>
      <x:c r="D217" s="3" t="str">
        <x:v>P0</x:v>
      </x:c>
      <x:c r="E217" s="3" t="str">
        <x:v>计费</x:v>
      </x:c>
      <x:c r="F217" s="3" t="str">
        <x:v>Web + API + DB + Executor；实际协作用 E2</x:v>
      </x:c>
      <x:c r="G217" s="3" t="str">
        <x:v>准备完整 E1/E2、两名稳定成员 M1/M2，以及可记录指令和状态的 Executor。</x:v>
      </x:c>
      <x:c r="H217" s="3" t="str">
        <x:v>余额 0.01；M1 消耗 1.00</x:v>
      </x:c>
      <x:c r="I217" s="3" t="str">
        <x:v>1. 启动两成员团队
2. M1 完成后观察 M2</x:v>
      </x:c>
      <x:c r="J217" s="3" t="str">
        <x:v>1. M2 因余额非正不启动
2. 整轮失败并回滚工作区
3. M1 已发生消耗保留</x:v>
      </x:c>
      <x:c r="K217" s="3" t="str">
        <x:v>S01;S03;S11;S12</x:v>
      </x:c>
      <x:c r="L217" s="3" t="str">
        <x:v>实现路径存在，待执行验收</x:v>
      </x:c>
      <x:c r="M217" s="12" t="str">
        <x:v>未执行</x:v>
      </x:c>
      <x:c r="N217" s="12" t="str"/>
      <x:c r="O217" s="12" t="str"/>
      <x:c r="P217" s="12" t="str"/>
    </x:row>
    <x:row r="218" ht="57" customHeight="1">
      <x:c r="A218" s="3" t="str">
        <x:v>TEAM-018</x:v>
      </x:c>
      <x:c r="B218" s="3" t="str">
        <x:v>Expert Team 协作</x:v>
      </x:c>
      <x:c r="C218" s="3" t="str">
        <x:v>团队进度与历史阶段身份</x:v>
      </x:c>
      <x:c r="D218" s="3" t="str">
        <x:v>P1</x:v>
      </x:c>
      <x:c r="E218" s="3" t="str">
        <x:v>展示</x:v>
      </x:c>
      <x:c r="F218" s="3" t="str">
        <x:v>Web + API + DB + Executor；实际协作用 E2</x:v>
      </x:c>
      <x:c r="G218" s="3" t="str">
        <x:v>准备完整 E1/E2、两名稳定成员 M1/M2，以及可记录指令和状态的 Executor。</x:v>
      </x:c>
      <x:c r="H218" s="3" t="str">
        <x:v>两成员团队正常完成</x:v>
      </x:c>
      <x:c r="I218" s="3" t="str">
        <x:v>1. 观察流式成员进度
2. 完成后展开执行元数据
3. 刷新</x:v>
      </x:c>
      <x:c r="J218" s="3" t="str">
        <x:v>1. 保存每阶段角色、Expert、模型和 Runtime
2. 正式回复身份对应最终成员</x:v>
      </x:c>
      <x:c r="K218" s="3" t="str">
        <x:v>S01;S03;S11;S12</x:v>
      </x:c>
      <x:c r="L218" s="3" t="str">
        <x:v>实现路径存在，待执行验收</x:v>
      </x:c>
      <x:c r="M218" s="12" t="str">
        <x:v>未执行</x:v>
      </x:c>
      <x:c r="N218" s="12" t="str"/>
      <x:c r="O218" s="12" t="str"/>
      <x:c r="P218" s="12" t="str"/>
    </x:row>
    <x:row r="219" ht="57" customHeight="1">
      <x:c r="A219" s="3" t="str">
        <x:v>TEAM-019</x:v>
      </x:c>
      <x:c r="B219" s="3" t="str">
        <x:v>Expert Team 协作</x:v>
      </x:c>
      <x:c r="C219" s="3" t="str">
        <x:v>删除团队对可变引用清理</x:v>
      </x:c>
      <x:c r="D219" s="3" t="str">
        <x:v>P1</x:v>
      </x:c>
      <x:c r="E219" s="3" t="str">
        <x:v>生命周期</x:v>
      </x:c>
      <x:c r="F219" s="3" t="str">
        <x:v>Web + API + DB + Executor；实际协作用 E2</x:v>
      </x:c>
      <x:c r="G219" s="3" t="str">
        <x:v>准备完整 E1/E2、两名稳定成员 M1/M2，以及可记录指令和状态的 Executor。</x:v>
      </x:c>
      <x:c r="H219" s="3" t="str">
        <x:v>团队被未启动 Session 和 Workflow 选中；另有历史快照</x:v>
      </x:c>
      <x:c r="I219" s="3" t="str">
        <x:v>1. 删除团队
2. 查看可变引用
3. 重试历史轮次</x:v>
      </x:c>
      <x:c r="J219" s="3" t="str">
        <x:v>1. 可变引用清理
2. 历史快照不被改写且按其资源可用性执行</x:v>
      </x:c>
      <x:c r="K219" s="3" t="str">
        <x:v>S01;S03;S11;S12</x:v>
      </x:c>
      <x:c r="L219" s="3" t="str">
        <x:v>实现路径存在，待执行验收</x:v>
      </x:c>
      <x:c r="M219" s="12" t="str">
        <x:v>未执行</x:v>
      </x:c>
      <x:c r="N219" s="12" t="str"/>
      <x:c r="O219" s="12" t="str"/>
      <x:c r="P219" s="12" t="str"/>
    </x:row>
    <x:row r="220" ht="57" customHeight="1">
      <x:c r="A220" s="3" t="str">
        <x:v>SKL-001</x:v>
      </x:c>
      <x:c r="B220" s="3" t="str">
        <x:v>Skill 安装与目录</x:v>
      </x:c>
      <x:c r="C220" s="3" t="str">
        <x:v>Git 安装固定修订</x:v>
      </x:c>
      <x:c r="D220" s="3" t="str">
        <x:v>P0</x:v>
      </x:c>
      <x:c r="E220" s="3" t="str">
        <x:v>正向</x:v>
      </x:c>
      <x:c r="F220" s="3" t="str">
        <x:v>Web + API + Skill Store + Object Storage</x:v>
      </x:c>
      <x:c r="G220" s="3" t="str">
        <x:v>A/B 独立账号；准备合法 Git Skill 和各种 ZIP fixture；对象存储可注入失败。</x:v>
      </x:c>
      <x:c r="H220" s="3" t="str">
        <x:v>HTTPS Git 源含根 SKILL.md</x:v>
      </x:c>
      <x:c r="I220" s="3" t="str">
        <x:v>1. 从 Skills 安装 Git 地址
2. 查看安装详情和 Skill 文档</x:v>
      </x:c>
      <x:c r="J220" s="3" t="str">
        <x:v>1. 保存精确 Commit 对应不可变包
2. 可显示 SKILL.md
3. 不在宿主执行包脚本</x:v>
      </x:c>
      <x:c r="K220" s="3" t="str">
        <x:v>S01;S02;S03;S13</x:v>
      </x:c>
      <x:c r="L220" s="3" t="str">
        <x:v>实现路径存在，待执行验收</x:v>
      </x:c>
      <x:c r="M220" s="12" t="str">
        <x:v>未执行</x:v>
      </x:c>
      <x:c r="N220" s="12" t="str"/>
      <x:c r="O220" s="12" t="str"/>
      <x:c r="P220" s="12" t="str"/>
    </x:row>
    <x:row r="221" ht="57" customHeight="1">
      <x:c r="A221" s="3" t="str">
        <x:v>SKL-002</x:v>
      </x:c>
      <x:c r="B221" s="3" t="str">
        <x:v>Skill 安装与目录</x:v>
      </x:c>
      <x:c r="C221" s="3" t="str">
        <x:v>ZIP 根目录安装</x:v>
      </x:c>
      <x:c r="D221" s="3" t="str">
        <x:v>P0</x:v>
      </x:c>
      <x:c r="E221" s="3" t="str">
        <x:v>正向</x:v>
      </x:c>
      <x:c r="F221" s="3" t="str">
        <x:v>Web + API + Skill Store + Object Storage</x:v>
      </x:c>
      <x:c r="G221" s="3" t="str">
        <x:v>A/B 独立账号；准备合法 Git Skill 和各种 ZIP fixture；对象存储可注入失败。</x:v>
      </x:c>
      <x:c r="H221" s="3" t="str">
        <x:v>archive.zip 根含 SKILL.md 与 resources/a.txt</x:v>
      </x:c>
      <x:c r="I221" s="3" t="str">
        <x:v>1. 上传 ZIP
2. 打开详情
3. 选择到会话</x:v>
      </x:c>
      <x:c r="J221" s="3" t="str">
        <x:v>1. 安装成功且包根存在普通 SKILL.md
2. 资源可随执行提供</x:v>
      </x:c>
      <x:c r="K221" s="3" t="str">
        <x:v>S01;S02;S03;S13</x:v>
      </x:c>
      <x:c r="L221" s="3" t="str">
        <x:v>实现路径存在，待执行验收</x:v>
      </x:c>
      <x:c r="M221" s="12" t="str">
        <x:v>未执行</x:v>
      </x:c>
      <x:c r="N221" s="12" t="str">
        <x:v>部分步骤证据：E2E-037 通过。完整结果见“E2E执行”。未执行全部原用例步骤，不据此标记整条通过。</x:v>
      </x:c>
      <x:c r="O221" s="12" t="str"/>
      <x:c r="P221" s="12" t="str">
        <x:v>Codex / 2026-09-06 17:21 Asia/Shanghai</x:v>
      </x:c>
    </x:row>
    <x:row r="222" ht="57" customHeight="1">
      <x:c r="A222" s="3" t="str">
        <x:v>SKL-003</x:v>
      </x:c>
      <x:c r="B222" s="3" t="str">
        <x:v>Skill 安装与目录</x:v>
      </x:c>
      <x:c r="C222" s="3" t="str">
        <x:v>单顶层文件夹标准化</x:v>
      </x:c>
      <x:c r="D222" s="3" t="str">
        <x:v>P1</x:v>
      </x:c>
      <x:c r="E222" s="3" t="str">
        <x:v>正向</x:v>
      </x:c>
      <x:c r="F222" s="3" t="str">
        <x:v>Web + API + Skill Store + Object Storage</x:v>
      </x:c>
      <x:c r="G222" s="3" t="str">
        <x:v>A/B 独立账号；准备合法 Git Skill 和各种 ZIP fixture；对象存储可注入失败。</x:v>
      </x:c>
      <x:c r="H222" s="3" t="str">
        <x:v>demo/SKILL.md、demo/scripts/a.py</x:v>
      </x:c>
      <x:c r="I222" s="3" t="str">
        <x:v>1. 上传 ZIP
2. 下载/检查标准化对象
3. 执行读取</x:v>
      </x:c>
      <x:c r="J222" s="3" t="str">
        <x:v>1. 去掉唯一包裹目录
2. 标准化后根 SKILL.md 可读
3. 实际对象 Size/SHA-256 匹配</x:v>
      </x:c>
      <x:c r="K222" s="3" t="str">
        <x:v>S01;S02;S03;S13</x:v>
      </x:c>
      <x:c r="L222" s="3" t="str">
        <x:v>实现路径存在，待执行验收</x:v>
      </x:c>
      <x:c r="M222" s="12" t="str">
        <x:v>未执行</x:v>
      </x:c>
      <x:c r="N222" s="12" t="str"/>
      <x:c r="O222" s="12" t="str"/>
      <x:c r="P222" s="12" t="str"/>
    </x:row>
    <x:row r="223" ht="42" customHeight="1">
      <x:c r="A223" s="3" t="str">
        <x:v>SKL-004</x:v>
      </x:c>
      <x:c r="B223" s="3" t="str">
        <x:v>Skill 安装与目录</x:v>
      </x:c>
      <x:c r="C223" s="3" t="str">
        <x:v>剔除 macOS 元数据</x:v>
      </x:c>
      <x:c r="D223" s="3" t="str">
        <x:v>P1</x:v>
      </x:c>
      <x:c r="E223" s="3" t="str">
        <x:v>兼容</x:v>
      </x:c>
      <x:c r="F223" s="3" t="str">
        <x:v>Web + API + Skill Store + Object Storage</x:v>
      </x:c>
      <x:c r="G223" s="3" t="str">
        <x:v>A/B 独立账号；准备合法 Git Skill 和各种 ZIP fixture；对象存储可注入失败。</x:v>
      </x:c>
      <x:c r="H223" s="3" t="str">
        <x:v>含 __MACOSX、.DS_Store、._name 的合法 ZIP</x:v>
      </x:c>
      <x:c r="I223" s="3" t="str">
        <x:v>1. 上传安装
2. 检查标准化文件清单</x:v>
      </x:c>
      <x:c r="J223" s="3" t="str">
        <x:v>1. 系统元数据被剔除
2. 真实 Skill 内容保留且可用</x:v>
      </x:c>
      <x:c r="K223" s="3" t="str">
        <x:v>S01;S02;S03;S13</x:v>
      </x:c>
      <x:c r="L223" s="3" t="str">
        <x:v>实现路径存在，待执行验收</x:v>
      </x:c>
      <x:c r="M223" s="12" t="str">
        <x:v>未执行</x:v>
      </x:c>
      <x:c r="N223" s="12" t="str"/>
      <x:c r="O223" s="12" t="str"/>
      <x:c r="P223" s="12" t="str"/>
    </x:row>
    <x:row r="224" ht="42" customHeight="1">
      <x:c r="A224" s="3" t="str">
        <x:v>SKL-005</x:v>
      </x:c>
      <x:c r="B224" s="3" t="str">
        <x:v>Skill 安装与目录</x:v>
      </x:c>
      <x:c r="C224" s="3" t="str">
        <x:v>缺少 SKILL.md 拒绝</x:v>
      </x:c>
      <x:c r="D224" s="3" t="str">
        <x:v>P0</x:v>
      </x:c>
      <x:c r="E224" s="3" t="str">
        <x:v>校验</x:v>
      </x:c>
      <x:c r="F224" s="3" t="str">
        <x:v>Web + API + Skill Store + Object Storage</x:v>
      </x:c>
      <x:c r="G224" s="3" t="str">
        <x:v>A/B 独立账号；准备合法 Git Skill 和各种 ZIP fixture；对象存储可注入失败。</x:v>
      </x:c>
      <x:c r="H224" s="3" t="str">
        <x:v>只有 README.md 或 SKILL.md 为目录</x:v>
      </x:c>
      <x:c r="I224" s="3" t="str">
        <x:v>1. 分别安装 Git/ZIP
2. 查看目录</x:v>
      </x:c>
      <x:c r="J224" s="3" t="str">
        <x:v>1. 不是合法 Skill
2. 安装失败不产生可选版本</x:v>
      </x:c>
      <x:c r="K224" s="3" t="str">
        <x:v>S01;S02;S03;S13</x:v>
      </x:c>
      <x:c r="L224" s="3" t="str">
        <x:v>实现路径存在，待执行验收</x:v>
      </x:c>
      <x:c r="M224" s="12" t="str">
        <x:v>未执行</x:v>
      </x:c>
      <x:c r="N224" s="12" t="str"/>
      <x:c r="O224" s="12" t="str"/>
      <x:c r="P224" s="12" t="str"/>
    </x:row>
    <x:row r="225" ht="42" customHeight="1">
      <x:c r="A225" s="3" t="str">
        <x:v>SKL-006</x:v>
      </x:c>
      <x:c r="B225" s="3" t="str">
        <x:v>Skill 安装与目录</x:v>
      </x:c>
      <x:c r="C225" s="3" t="str">
        <x:v>多个候选 Skill 根拒绝</x:v>
      </x:c>
      <x:c r="D225" s="3" t="str">
        <x:v>P0</x:v>
      </x:c>
      <x:c r="E225" s="3" t="str">
        <x:v>安全</x:v>
      </x:c>
      <x:c r="F225" s="3" t="str">
        <x:v>Web + API + Skill Store + Object Storage</x:v>
      </x:c>
      <x:c r="G225" s="3" t="str">
        <x:v>A/B 独立账号；准备合法 Git Skill 和各种 ZIP fixture；对象存储可注入失败。</x:v>
      </x:c>
      <x:c r="H225" s="3" t="str">
        <x:v>a/SKILL.md 与 b/SKILL.md；包外混入文件</x:v>
      </x:c>
      <x:c r="I225" s="3" t="str">
        <x:v>1. 逐组上传
2. 观察错误和目录</x:v>
      </x:c>
      <x:c r="J225" s="3" t="str">
        <x:v>1. 歧义结构拒绝
2. 不任意选择其中一包</x:v>
      </x:c>
      <x:c r="K225" s="3" t="str">
        <x:v>S01;S02;S03;S13</x:v>
      </x:c>
      <x:c r="L225" s="3" t="str">
        <x:v>实现路径存在，待执行验收</x:v>
      </x:c>
      <x:c r="M225" s="12" t="str">
        <x:v>未执行</x:v>
      </x:c>
      <x:c r="N225" s="12" t="str"/>
      <x:c r="O225" s="12" t="str"/>
      <x:c r="P225" s="12" t="str"/>
    </x:row>
    <x:row r="226" ht="42" customHeight="1">
      <x:c r="A226" s="3" t="str">
        <x:v>SKL-007</x:v>
      </x:c>
      <x:c r="B226" s="3" t="str">
        <x:v>Skill 安装与目录</x:v>
      </x:c>
      <x:c r="C226" s="3" t="str">
        <x:v>ZIP 路径穿越拒绝</x:v>
      </x:c>
      <x:c r="D226" s="3" t="str">
        <x:v>P0</x:v>
      </x:c>
      <x:c r="E226" s="3" t="str">
        <x:v>安全</x:v>
      </x:c>
      <x:c r="F226" s="3" t="str">
        <x:v>Web + API + Skill Store + Object Storage</x:v>
      </x:c>
      <x:c r="G226" s="3" t="str">
        <x:v>A/B 独立账号；准备合法 Git Skill 和各种 ZIP fixture；对象存储可注入失败。</x:v>
      </x:c>
      <x:c r="H226" s="3" t="str">
        <x:v>../escape、绝对路径、Windows 驱动器路径</x:v>
      </x:c>
      <x:c r="I226" s="3" t="str">
        <x:v>1. 上传恶意 ZIP
2. 检查解包目录与安装状态</x:v>
      </x:c>
      <x:c r="J226" s="3" t="str">
        <x:v>1. 不写出受控根目录
2. 整体安装失败</x:v>
      </x:c>
      <x:c r="K226" s="3" t="str">
        <x:v>S01;S02;S03;S13</x:v>
      </x:c>
      <x:c r="L226" s="3" t="str">
        <x:v>实现路径存在，待执行验收</x:v>
      </x:c>
      <x:c r="M226" s="12" t="str">
        <x:v>未执行</x:v>
      </x:c>
      <x:c r="N226" s="12" t="str">
        <x:v>部分步骤证据：E2E-038 通过。完整结果见“E2E执行”。未执行全部原用例步骤，不据此标记整条通过。</x:v>
      </x:c>
      <x:c r="O226" s="12" t="str"/>
      <x:c r="P226" s="12" t="str">
        <x:v>Codex / 2026-09-06 17:21 Asia/Shanghai</x:v>
      </x:c>
    </x:row>
    <x:row r="227" ht="42" customHeight="1">
      <x:c r="A227" s="3" t="str">
        <x:v>SKL-008</x:v>
      </x:c>
      <x:c r="B227" s="3" t="str">
        <x:v>Skill 安装与目录</x:v>
      </x:c>
      <x:c r="C227" s="3" t="str">
        <x:v>重复冲突路径拒绝</x:v>
      </x:c>
      <x:c r="D227" s="3" t="str">
        <x:v>P0</x:v>
      </x:c>
      <x:c r="E227" s="3" t="str">
        <x:v>安全</x:v>
      </x:c>
      <x:c r="F227" s="3" t="str">
        <x:v>Web + API + Skill Store + Object Storage</x:v>
      </x:c>
      <x:c r="G227" s="3" t="str">
        <x:v>A/B 独立账号；准备合法 Git Skill 和各种 ZIP fixture；对象存储可注入失败。</x:v>
      </x:c>
      <x:c r="H227" s="3" t="str">
        <x:v>重复 SKILL.md、文件与目录同名</x:v>
      </x:c>
      <x:c r="I227" s="3" t="str">
        <x:v>1. 上传 ZIP
2. 检查标准化结果</x:v>
      </x:c>
      <x:c r="J227" s="3" t="str">
        <x:v>1. 重复或冲突路径拒绝
2. 不会按解压顺序覆盖</x:v>
      </x:c>
      <x:c r="K227" s="3" t="str">
        <x:v>S01;S02;S03;S13</x:v>
      </x:c>
      <x:c r="L227" s="3" t="str">
        <x:v>实现路径存在，待执行验收</x:v>
      </x:c>
      <x:c r="M227" s="12" t="str">
        <x:v>未执行</x:v>
      </x:c>
      <x:c r="N227" s="12" t="str"/>
      <x:c r="O227" s="12" t="str"/>
      <x:c r="P227" s="12" t="str"/>
    </x:row>
    <x:row r="228" ht="42" customHeight="1">
      <x:c r="A228" s="3" t="str">
        <x:v>SKL-009</x:v>
      </x:c>
      <x:c r="B228" s="3" t="str">
        <x:v>Skill 安装与目录</x:v>
      </x:c>
      <x:c r="C228" s="3" t="str">
        <x:v>符号链接与特殊文件拒绝</x:v>
      </x:c>
      <x:c r="D228" s="3" t="str">
        <x:v>P0</x:v>
      </x:c>
      <x:c r="E228" s="3" t="str">
        <x:v>安全</x:v>
      </x:c>
      <x:c r="F228" s="3" t="str">
        <x:v>Web + API + Skill Store + Object Storage</x:v>
      </x:c>
      <x:c r="G228" s="3" t="str">
        <x:v>A/B 独立账号；准备合法 Git Skill 和各种 ZIP fixture；对象存储可注入失败。</x:v>
      </x:c>
      <x:c r="H228" s="3" t="str">
        <x:v>ZIP 含 symlink、FIFO 或设备文件条目</x:v>
      </x:c>
      <x:c r="I228" s="3" t="str">
        <x:v>1. 逐组上传
2. 检查服务器执行和对象</x:v>
      </x:c>
      <x:c r="J228" s="3" t="str">
        <x:v>1. 安装拒绝
2. 不跟随链接或创建设备文件</x:v>
      </x:c>
      <x:c r="K228" s="3" t="str">
        <x:v>S01;S02;S03;S13</x:v>
      </x:c>
      <x:c r="L228" s="3" t="str">
        <x:v>实现路径存在，待执行验收</x:v>
      </x:c>
      <x:c r="M228" s="12" t="str">
        <x:v>未执行</x:v>
      </x:c>
      <x:c r="N228" s="12" t="str"/>
      <x:c r="O228" s="12" t="str"/>
      <x:c r="P228" s="12" t="str"/>
    </x:row>
    <x:row r="229" ht="57" customHeight="1">
      <x:c r="A229" s="3" t="str">
        <x:v>SKL-010</x:v>
      </x:c>
      <x:c r="B229" s="3" t="str">
        <x:v>Skill 安装与目录</x:v>
      </x:c>
      <x:c r="C229" s="3" t="str">
        <x:v>压缩包与展开总量限制</x:v>
      </x:c>
      <x:c r="D229" s="3" t="str">
        <x:v>P0</x:v>
      </x:c>
      <x:c r="E229" s="3" t="str">
        <x:v>边界</x:v>
      </x:c>
      <x:c r="F229" s="3" t="str">
        <x:v>Web + API + Skill Store + Object Storage</x:v>
      </x:c>
      <x:c r="G229" s="3" t="str">
        <x:v>A/B 独立账号；准备合法 Git Skill 和各种 ZIP fixture；对象存储可注入失败。</x:v>
      </x:c>
      <x:c r="H229" s="3" t="str">
        <x:v>压缩/解压/标准化各阶段 50 MiB 边界及 +1 字节</x:v>
      </x:c>
      <x:c r="I229" s="3" t="str">
        <x:v>1. 上传各边界 fixture
2. 检查响应与资源消耗</x:v>
      </x:c>
      <x:c r="J229" s="3" t="str">
        <x:v>1. 每阶段不超过 52428800 字节
2. 压缩炸弹被限制
3. 超限不保存可用修订</x:v>
      </x:c>
      <x:c r="K229" s="3" t="str">
        <x:v>S01;S02;S03;S13</x:v>
      </x:c>
      <x:c r="L229" s="3" t="str">
        <x:v>实现路径存在，待执行验收</x:v>
      </x:c>
      <x:c r="M229" s="12" t="str">
        <x:v>未执行</x:v>
      </x:c>
      <x:c r="N229" s="12" t="str"/>
      <x:c r="O229" s="12" t="str"/>
      <x:c r="P229" s="12" t="str"/>
    </x:row>
    <x:row r="230" ht="57" customHeight="1">
      <x:c r="A230" s="3" t="str">
        <x:v>SKL-011</x:v>
      </x:c>
      <x:c r="B230" s="3" t="str">
        <x:v>Skill 安装与目录</x:v>
      </x:c>
      <x:c r="C230" s="3" t="str">
        <x:v>ZIP 损坏和 CRC 错误</x:v>
      </x:c>
      <x:c r="D230" s="3" t="str">
        <x:v>P1</x:v>
      </x:c>
      <x:c r="E230" s="3" t="str">
        <x:v>异常</x:v>
      </x:c>
      <x:c r="F230" s="3" t="str">
        <x:v>Web + API + Skill Store + Object Storage</x:v>
      </x:c>
      <x:c r="G230" s="3" t="str">
        <x:v>A/B 独立账号；准备合法 Git Skill 和各种 ZIP fixture；对象存储可注入失败。</x:v>
      </x:c>
      <x:c r="H230" s="3" t="str">
        <x:v>截断 ZIP、错误 CRC</x:v>
      </x:c>
      <x:c r="I230" s="3" t="str">
        <x:v>1. 上传
2. 检查失败原因
3. 重试合法包</x:v>
      </x:c>
      <x:c r="J230" s="3" t="str">
        <x:v>1. 完整性错误导致失败
2. 不会持久化损坏包
3. 可重新安装</x:v>
      </x:c>
      <x:c r="K230" s="3" t="str">
        <x:v>S01;S02;S03;S13</x:v>
      </x:c>
      <x:c r="L230" s="3" t="str">
        <x:v>实现路径存在，待执行验收</x:v>
      </x:c>
      <x:c r="M230" s="12" t="str">
        <x:v>未执行</x:v>
      </x:c>
      <x:c r="N230" s="12" t="str"/>
      <x:c r="O230" s="12" t="str"/>
      <x:c r="P230" s="12" t="str"/>
    </x:row>
    <x:row r="231" ht="57" customHeight="1">
      <x:c r="A231" s="3" t="str">
        <x:v>SKL-012</x:v>
      </x:c>
      <x:c r="B231" s="3" t="str">
        <x:v>Skill 安装与目录</x:v>
      </x:c>
      <x:c r="C231" s="3" t="str">
        <x:v>更新不修改旧快照</x:v>
      </x:c>
      <x:c r="D231" s="3" t="str">
        <x:v>P0</x:v>
      </x:c>
      <x:c r="E231" s="3" t="str">
        <x:v>快照</x:v>
      </x:c>
      <x:c r="F231" s="3" t="str">
        <x:v>Web + API + Skill Store + Object Storage</x:v>
      </x:c>
      <x:c r="G231" s="3" t="str">
        <x:v>A/B 独立账号；准备合法 Git Skill 和各种 ZIP fixture；对象存储可注入失败。</x:v>
      </x:c>
      <x:c r="H231" s="3" t="str">
        <x:v>S1 v1 已被会话保留；上传 v2</x:v>
      </x:c>
      <x:c r="I231" s="3" t="str">
        <x:v>1. 更新 Skill
2. 原会话继续与历史重试
3. 新选 v2</x:v>
      </x:c>
      <x:c r="J231" s="3" t="str">
        <x:v>1. 旧修订保持
2. 显式新选择采用 v2
3. 排队任务不被覆盖</x:v>
      </x:c>
      <x:c r="K231" s="3" t="str">
        <x:v>S01;S02;S03;S13</x:v>
      </x:c>
      <x:c r="L231" s="3" t="str">
        <x:v>实现路径存在，待执行验收</x:v>
      </x:c>
      <x:c r="M231" s="12" t="str">
        <x:v>未执行</x:v>
      </x:c>
      <x:c r="N231" s="12" t="str"/>
      <x:c r="O231" s="12" t="str"/>
      <x:c r="P231" s="12" t="str"/>
    </x:row>
    <x:row r="232" ht="57" customHeight="1">
      <x:c r="A232" s="3" t="str">
        <x:v>SKL-013</x:v>
      </x:c>
      <x:c r="B232" s="3" t="str">
        <x:v>Skill 安装与目录</x:v>
      </x:c>
      <x:c r="C232" s="3" t="str">
        <x:v>删除影响预览与确认</x:v>
      </x:c>
      <x:c r="D232" s="3" t="str">
        <x:v>P0</x:v>
      </x:c>
      <x:c r="E232" s="3" t="str">
        <x:v>依赖</x:v>
      </x:c>
      <x:c r="F232" s="3" t="str">
        <x:v>Web + API + Skill Store + Object Storage</x:v>
      </x:c>
      <x:c r="G232" s="3" t="str">
        <x:v>A/B 独立账号；准备合法 Git Skill 和各种 ZIP fixture；对象存储可注入失败。</x:v>
      </x:c>
      <x:c r="H232" s="3" t="str">
        <x:v>S1 被 E1/E2 选中</x:v>
      </x:c>
      <x:c r="I232" s="3" t="str">
        <x:v>1. 打开删除影响
2. 取消一次
3. 确认删除</x:v>
      </x:c>
      <x:c r="J232" s="3" t="str">
        <x:v>1. 列出受影响专家
2. 取消无变化
3. 确认事务性解除可变引用并保留历史快照</x:v>
      </x:c>
      <x:c r="K232" s="3" t="str">
        <x:v>S01;S02;S03;S13</x:v>
      </x:c>
      <x:c r="L232" s="3" t="str">
        <x:v>实现路径存在，待执行验收</x:v>
      </x:c>
      <x:c r="M232" s="12" t="str">
        <x:v>未执行</x:v>
      </x:c>
      <x:c r="N232" s="12" t="str">
        <x:v>部分步骤证据：E2E-037 通过。完整结果见“E2E执行”。未执行全部原用例步骤，不据此标记整条通过。</x:v>
      </x:c>
      <x:c r="O232" s="12" t="str"/>
      <x:c r="P232" s="12" t="str">
        <x:v>Codex / 2026-09-06 17:21 Asia/Shanghai</x:v>
      </x:c>
    </x:row>
    <x:row r="233" ht="57" customHeight="1">
      <x:c r="A233" s="3" t="str">
        <x:v>SKL-014</x:v>
      </x:c>
      <x:c r="B233" s="3" t="str">
        <x:v>Skill 安装与目录</x:v>
      </x:c>
      <x:c r="C233" s="3" t="str">
        <x:v>影响预览过期拒绝</x:v>
      </x:c>
      <x:c r="D233" s="3" t="str">
        <x:v>P1</x:v>
      </x:c>
      <x:c r="E233" s="3" t="str">
        <x:v>并发</x:v>
      </x:c>
      <x:c r="F233" s="3" t="str">
        <x:v>Web + API + Skill Store + Object Storage</x:v>
      </x:c>
      <x:c r="G233" s="3" t="str">
        <x:v>A/B 独立账号；准备合法 Git Skill 和各种 ZIP fixture；对象存储可注入失败。</x:v>
      </x:c>
      <x:c r="H233" s="3" t="str">
        <x:v>查看 impact 后 E1 更新资源或版本</x:v>
      </x:c>
      <x:c r="I233" s="3" t="str">
        <x:v>1. 使用旧影响确认提交删除
2. 重新加载影响</x:v>
      </x:c>
      <x:c r="J233" s="3" t="str">
        <x:v>1. 拒绝过期影响绑定
2. 不会盲删新关联
3. 刷新后可重新确认</x:v>
      </x:c>
      <x:c r="K233" s="3" t="str">
        <x:v>S01;S02;S03;S13</x:v>
      </x:c>
      <x:c r="L233" s="3" t="str">
        <x:v>实现路径存在，待执行验收</x:v>
      </x:c>
      <x:c r="M233" s="12" t="str">
        <x:v>未执行</x:v>
      </x:c>
      <x:c r="N233" s="12" t="str"/>
      <x:c r="O233" s="12" t="str"/>
      <x:c r="P233" s="12" t="str"/>
    </x:row>
    <x:row r="234" ht="42" customHeight="1">
      <x:c r="A234" s="3" t="str">
        <x:v>SKL-015</x:v>
      </x:c>
      <x:c r="B234" s="3" t="str">
        <x:v>Skill 安装与目录</x:v>
      </x:c>
      <x:c r="C234" s="3" t="str">
        <x:v>Skill 文档安全渲染</x:v>
      </x:c>
      <x:c r="D234" s="3" t="str">
        <x:v>P0</x:v>
      </x:c>
      <x:c r="E234" s="3" t="str">
        <x:v>安全</x:v>
      </x:c>
      <x:c r="F234" s="3" t="str">
        <x:v>Web + API + Skill Store + Object Storage</x:v>
      </x:c>
      <x:c r="G234" s="3" t="str">
        <x:v>A/B 独立账号；准备合法 Git Skill 和各种 ZIP fixture；对象存储可注入失败。</x:v>
      </x:c>
      <x:c r="H234" s="3" t="str">
        <x:v>SKILL.md 含脚本标签、危险链接、外链图片</x:v>
      </x:c>
      <x:c r="I234" s="3" t="str">
        <x:v>1. 打开只读详情
2. 检查渲染与网络行为</x:v>
      </x:c>
      <x:c r="J234" s="3" t="str">
        <x:v>1. 不执行脚本、安装依赖或把内容当平台指令
2. Markdown 安全展示</x:v>
      </x:c>
      <x:c r="K234" s="3" t="str">
        <x:v>S01;S02;S03;S13</x:v>
      </x:c>
      <x:c r="L234" s="3" t="str">
        <x:v>实现路径存在，待执行验收</x:v>
      </x:c>
      <x:c r="M234" s="12" t="str">
        <x:v>未执行</x:v>
      </x:c>
      <x:c r="N234" s="12" t="str"/>
      <x:c r="O234" s="12" t="str"/>
      <x:c r="P234" s="12" t="str"/>
    </x:row>
    <x:row r="235" ht="57" customHeight="1">
      <x:c r="A235" s="3" t="str">
        <x:v>SKL-016</x:v>
      </x:c>
      <x:c r="B235" s="3" t="str">
        <x:v>Skill 安装与目录</x:v>
      </x:c>
      <x:c r="C235" s="3" t="str">
        <x:v>安装失败不误选资源</x:v>
      </x:c>
      <x:c r="D235" s="3" t="str">
        <x:v>P1</x:v>
      </x:c>
      <x:c r="E235" s="3" t="str">
        <x:v>异常</x:v>
      </x:c>
      <x:c r="F235" s="3" t="str">
        <x:v>Web + API + Skill Store + Object Storage</x:v>
      </x:c>
      <x:c r="G235" s="3" t="str">
        <x:v>A/B 独立账号；准备合法 Git Skill 和各种 ZIP fixture；对象存储可注入失败。</x:v>
      </x:c>
      <x:c r="H235" s="3" t="str">
        <x:v>Git 不可达或对象存储写失败</x:v>
      </x:c>
      <x:c r="I235" s="3" t="str">
        <x:v>1. 在 Expert 内联安装
2. 观察资源列表和选择</x:v>
      </x:c>
      <x:c r="J235" s="3" t="str">
        <x:v>1. 失败明确显示
2. 不产生成功选中假象
3. 原 Expert 草稿保留</x:v>
      </x:c>
      <x:c r="K235" s="3" t="str">
        <x:v>S01;S02;S03;S13</x:v>
      </x:c>
      <x:c r="L235" s="3" t="str">
        <x:v>实现路径存在，待执行验收</x:v>
      </x:c>
      <x:c r="M235" s="12" t="str">
        <x:v>未执行</x:v>
      </x:c>
      <x:c r="N235" s="12" t="str"/>
      <x:c r="O235" s="12" t="str"/>
      <x:c r="P235" s="12" t="str"/>
    </x:row>
    <x:row r="236" ht="42" customHeight="1">
      <x:c r="A236" s="3" t="str">
        <x:v>SKL-017</x:v>
      </x:c>
      <x:c r="B236" s="3" t="str">
        <x:v>Skill 安装与目录</x:v>
      </x:c>
      <x:c r="C236" s="3" t="str">
        <x:v>仅自己的 Skill 目录</x:v>
      </x:c>
      <x:c r="D236" s="3" t="str">
        <x:v>P0</x:v>
      </x:c>
      <x:c r="E236" s="3" t="str">
        <x:v>权限</x:v>
      </x:c>
      <x:c r="F236" s="3" t="str">
        <x:v>Web + API + Skill Store + Object Storage</x:v>
      </x:c>
      <x:c r="G236" s="3" t="str">
        <x:v>A/B 独立账号；准备合法 Git Skill 和各种 ZIP fixture；对象存储可注入失败。</x:v>
      </x:c>
      <x:c r="H236" s="3" t="str">
        <x:v>B 的 Skill ID 与安装修订</x:v>
      </x:c>
      <x:c r="I236" s="3" t="str">
        <x:v>1. A 列表、查看文档、更新和删除 B Skill</x:v>
      </x:c>
      <x:c r="J236" s="3" t="str">
        <x:v>1. 所有操作按 owner 隔离
2. 不可枚举内容或修改他人资源</x:v>
      </x:c>
      <x:c r="K236" s="3" t="str">
        <x:v>S01;S02;S03;S13</x:v>
      </x:c>
      <x:c r="L236" s="3" t="str">
        <x:v>实现路径存在，待执行验收</x:v>
      </x:c>
      <x:c r="M236" s="12" t="str">
        <x:v>未执行</x:v>
      </x:c>
      <x:c r="N236" s="12" t="str">
        <x:v>部分步骤证据：E2E-037 通过。完整结果见“E2E执行”。未执行全部原用例步骤，不据此标记整条通过。</x:v>
      </x:c>
      <x:c r="O236" s="12" t="str"/>
      <x:c r="P236" s="12" t="str">
        <x:v>Codex / 2026-09-06 17:21 Asia/Shanghai</x:v>
      </x:c>
    </x:row>
    <x:row r="237" ht="57" customHeight="1">
      <x:c r="A237" s="3" t="str">
        <x:v>MCP-001</x:v>
      </x:c>
      <x:c r="B237" s="3" t="str">
        <x:v>MCP Connector</x:v>
      </x:c>
      <x:c r="C237" s="3" t="str">
        <x:v>创建 HTTPS Streamable HTTP</x:v>
      </x:c>
      <x:c r="D237" s="3" t="str">
        <x:v>P0</x:v>
      </x:c>
      <x:c r="E237" s="3" t="str">
        <x:v>正向</x:v>
      </x:c>
      <x:c r="F237" s="3" t="str">
        <x:v>Web + API + 隔离 MCP 测试；真实兼容用 E2</x:v>
      </x:c>
      <x:c r="G237" s="3" t="str">
        <x:v>A/B 各有私有 MCP；准备可控 Streamable HTTP 服务、固定版本 npm/uvx 包及 Runtime。</x:v>
      </x:c>
      <x:c r="H237" s="3" t="str">
        <x:v>https://mcp.example.test/mcp；可选测试 Bearer Token</x:v>
      </x:c>
      <x:c r="I237" s="3" t="str">
        <x:v>1. 填写连接信息创建
2. 执行测试
3. 选择到会话</x:v>
      </x:c>
      <x:c r="J237" s="3" t="str">
        <x:v>1. 连接归当前 User
2. 测试成功后可选
3. 认证值只写不回显</x:v>
      </x:c>
      <x:c r="K237" s="3" t="str">
        <x:v>S01;S03;S13;S14</x:v>
      </x:c>
      <x:c r="L237" s="3" t="str">
        <x:v>实现路径存在，待执行验收</x:v>
      </x:c>
      <x:c r="M237" s="12" t="str">
        <x:v>失败</x:v>
      </x:c>
      <x:c r="N237" s="12" t="str">
        <x:v>失败：浏览器新增 MCP 返回 HTTP 400。前端发送 mcp_server，后端合同接受 mcp_connector。</x:v>
      </x:c>
      <x:c r="O237" s="12" t="str">
        <x:v>BUG-E2E-002</x:v>
      </x:c>
      <x:c r="P237" s="12" t="str">
        <x:v>Codex / 2026-09-06 17:21 Asia/Shanghai</x:v>
      </x:c>
    </x:row>
    <x:row r="238" ht="57" customHeight="1">
      <x:c r="A238" s="3" t="str">
        <x:v>MCP-002</x:v>
      </x:c>
      <x:c r="B238" s="3" t="str">
        <x:v>MCP Connector</x:v>
      </x:c>
      <x:c r="C238" s="3" t="str">
        <x:v>固定版本 npx MCP</x:v>
      </x:c>
      <x:c r="D238" s="3" t="str">
        <x:v>P0</x:v>
      </x:c>
      <x:c r="E238" s="3" t="str">
        <x:v>正向</x:v>
      </x:c>
      <x:c r="F238" s="3" t="str">
        <x:v>Web + API + 隔离 MCP 测试；真实兼容用 E2</x:v>
      </x:c>
      <x:c r="G238" s="3" t="str">
        <x:v>A/B 各有私有 MCP；准备可控 Streamable HTTP 服务、固定版本 npm/uvx 包及 Runtime。</x:v>
      </x:c>
      <x:c r="H238" s="3" t="str">
        <x:v>合法 npm package 与精确 package_version</x:v>
      </x:c>
      <x:c r="I238" s="3" t="str">
        <x:v>1. 创建 stdio MCP
2. 在隔离容器测试
3. 查看状态</x:v>
      </x:c>
      <x:c r="J238" s="3" t="str">
        <x:v>1. 只使用 npx 固定版本包
2. 不在 API 宿主执行用户包</x:v>
      </x:c>
      <x:c r="K238" s="3" t="str">
        <x:v>S01;S03;S13;S14</x:v>
      </x:c>
      <x:c r="L238" s="3" t="str">
        <x:v>实现路径存在，待执行验收</x:v>
      </x:c>
      <x:c r="M238" s="12" t="str">
        <x:v>未执行</x:v>
      </x:c>
      <x:c r="N238" s="12" t="str"/>
      <x:c r="O238" s="12" t="str"/>
      <x:c r="P238" s="12" t="str"/>
    </x:row>
    <x:row r="239" ht="42" customHeight="1">
      <x:c r="A239" s="3" t="str">
        <x:v>MCP-003</x:v>
      </x:c>
      <x:c r="B239" s="3" t="str">
        <x:v>MCP Connector</x:v>
      </x:c>
      <x:c r="C239" s="3" t="str">
        <x:v>固定版本 uvx MCP</x:v>
      </x:c>
      <x:c r="D239" s="3" t="str">
        <x:v>P1</x:v>
      </x:c>
      <x:c r="E239" s="3" t="str">
        <x:v>正向</x:v>
      </x:c>
      <x:c r="F239" s="3" t="str">
        <x:v>Web + API + 隔离 MCP 测试；真实兼容用 E2</x:v>
      </x:c>
      <x:c r="G239" s="3" t="str">
        <x:v>A/B 各有私有 MCP；准备可控 Streamable HTTP 服务、固定版本 npm/uvx 包及 Runtime。</x:v>
      </x:c>
      <x:c r="H239" s="3" t="str">
        <x:v>合法 Python package 与精确版本</x:v>
      </x:c>
      <x:c r="I239" s="3" t="str">
        <x:v>1. 创建 stdio MCP
2. 执行隔离测试</x:v>
      </x:c>
      <x:c r="J239" s="3" t="str">
        <x:v>1. uvx 固定版本可测试
2. 配置只进入该次执行环境</x:v>
      </x:c>
      <x:c r="K239" s="3" t="str">
        <x:v>S01;S03;S13;S14</x:v>
      </x:c>
      <x:c r="L239" s="3" t="str">
        <x:v>实现路径存在，待执行验收</x:v>
      </x:c>
      <x:c r="M239" s="12" t="str">
        <x:v>未执行</x:v>
      </x:c>
      <x:c r="N239" s="12" t="str"/>
      <x:c r="O239" s="12" t="str"/>
      <x:c r="P239" s="12" t="str"/>
    </x:row>
    <x:row r="240" ht="42" customHeight="1">
      <x:c r="A240" s="3" t="str">
        <x:v>MCP-004</x:v>
      </x:c>
      <x:c r="B240" s="3" t="str">
        <x:v>MCP Connector</x:v>
      </x:c>
      <x:c r="C240" s="3" t="str">
        <x:v>latest 与任意宿主命令拒绝</x:v>
      </x:c>
      <x:c r="D240" s="3" t="str">
        <x:v>P0</x:v>
      </x:c>
      <x:c r="E240" s="3" t="str">
        <x:v>安全</x:v>
      </x:c>
      <x:c r="F240" s="3" t="str">
        <x:v>Web + API + 隔离 MCP 测试；真实兼容用 E2</x:v>
      </x:c>
      <x:c r="G240" s="3" t="str">
        <x:v>A/B 各有私有 MCP；准备可控 Streamable HTTP 服务、固定版本 npm/uvx 包及 Runtime。</x:v>
      </x:c>
      <x:c r="H240" s="3" t="str">
        <x:v>latest、空版本、bash -c、任意本地路径 executable</x:v>
      </x:c>
      <x:c r="I240" s="3" t="str">
        <x:v>1. 逐项提交 MCP 配置
2. 检查启动记录</x:v>
      </x:c>
      <x:c r="J240" s="3" t="str">
        <x:v>1. 不接受浮动版本或任意 host command
2. 拒绝前不启动进程</x:v>
      </x:c>
      <x:c r="K240" s="3" t="str">
        <x:v>S01;S03;S13;S14</x:v>
      </x:c>
      <x:c r="L240" s="3" t="str">
        <x:v>实现路径存在，待执行验收</x:v>
      </x:c>
      <x:c r="M240" s="12" t="str">
        <x:v>未执行</x:v>
      </x:c>
      <x:c r="N240" s="12" t="str"/>
      <x:c r="O240" s="12" t="str"/>
      <x:c r="P240" s="12" t="str"/>
    </x:row>
    <x:row r="241" ht="57" customHeight="1">
      <x:c r="A241" s="3" t="str">
        <x:v>MCP-005</x:v>
      </x:c>
      <x:c r="B241" s="3" t="str">
        <x:v>MCP Connector</x:v>
      </x:c>
      <x:c r="C241" s="3" t="str">
        <x:v>HTTP MCP URL 与凭据限制</x:v>
      </x:c>
      <x:c r="D241" s="3" t="str">
        <x:v>P0</x:v>
      </x:c>
      <x:c r="E241" s="3" t="str">
        <x:v>安全</x:v>
      </x:c>
      <x:c r="F241" s="3" t="str">
        <x:v>Web + API + 隔离 MCP 测试；真实兼容用 E2</x:v>
      </x:c>
      <x:c r="G241" s="3" t="str">
        <x:v>A/B 各有私有 MCP；准备可控 Streamable HTTP 服务、固定版本 npm/uvx 包及 Runtime。</x:v>
      </x:c>
      <x:c r="H241" s="3" t="str">
        <x:v>HTTP URL、URL 内凭据、非标准认证环境变量</x:v>
      </x:c>
      <x:c r="I241" s="3" t="str">
        <x:v>1. 逐项提交 Connector
2. 对比合法 HTTPS+MCP_BEARER_TOKEN</x:v>
      </x:c>
      <x:c r="J241" s="3" t="str">
        <x:v>1. 非法传输与认证配置拒绝
2. 凭据不嵌在 URL
3. 仅接受受控认证形式</x:v>
      </x:c>
      <x:c r="K241" s="3" t="str">
        <x:v>S01;S03;S13;S14</x:v>
      </x:c>
      <x:c r="L241" s="3" t="str">
        <x:v>实现路径存在，待执行验收</x:v>
      </x:c>
      <x:c r="M241" s="12" t="str">
        <x:v>未执行</x:v>
      </x:c>
      <x:c r="N241" s="12" t="str"/>
      <x:c r="O241" s="12" t="str"/>
      <x:c r="P241" s="12" t="str"/>
    </x:row>
    <x:row r="242" ht="57" customHeight="1">
      <x:c r="A242" s="3" t="str">
        <x:v>MCP-006</x:v>
      </x:c>
      <x:c r="B242" s="3" t="str">
        <x:v>MCP Connector</x:v>
      </x:c>
      <x:c r="C242" s="3" t="str">
        <x:v>未经测试的 Connector 不可选</x:v>
      </x:c>
      <x:c r="D242" s="3" t="str">
        <x:v>P0</x:v>
      </x:c>
      <x:c r="E242" s="3" t="str">
        <x:v>状态</x:v>
      </x:c>
      <x:c r="F242" s="3" t="str">
        <x:v>Web + API + 隔离 MCP 测试；真实兼容用 E2</x:v>
      </x:c>
      <x:c r="G242" s="3" t="str">
        <x:v>A/B 各有私有 MCP；准备可控 Streamable HTTP 服务、固定版本 npm/uvx 包及 Runtime。</x:v>
      </x:c>
      <x:c r="H242" s="3" t="str">
        <x:v>刚创建且未测试或测试失败</x:v>
      </x:c>
      <x:c r="I242" s="3" t="str">
        <x:v>1. 尝试 Expert/输入框选择与直接 API 发送</x:v>
      </x:c>
      <x:c r="J242" s="3" t="str">
        <x:v>1. 不进入可执行选择
2. 明确要求先测试
3. 不能绕过前端直接执行</x:v>
      </x:c>
      <x:c r="K242" s="3" t="str">
        <x:v>S01;S03;S13;S14</x:v>
      </x:c>
      <x:c r="L242" s="3" t="str">
        <x:v>实现路径存在，待执行验收</x:v>
      </x:c>
      <x:c r="M242" s="12" t="str">
        <x:v>未执行</x:v>
      </x:c>
      <x:c r="N242" s="12" t="str"/>
      <x:c r="O242" s="12" t="str"/>
      <x:c r="P242" s="12" t="str"/>
    </x:row>
    <x:row r="243" ht="57" customHeight="1">
      <x:c r="A243" s="3" t="str">
        <x:v>MCP-007</x:v>
      </x:c>
      <x:c r="B243" s="3" t="str">
        <x:v>MCP Connector</x:v>
      </x:c>
      <x:c r="C243" s="3" t="str">
        <x:v>MCP 测试失败恢复</x:v>
      </x:c>
      <x:c r="D243" s="3" t="str">
        <x:v>P1</x:v>
      </x:c>
      <x:c r="E243" s="3" t="str">
        <x:v>异常</x:v>
      </x:c>
      <x:c r="F243" s="3" t="str">
        <x:v>Web + API + 隔离 MCP 测试；真实兼容用 E2</x:v>
      </x:c>
      <x:c r="G243" s="3" t="str">
        <x:v>A/B 各有私有 MCP；准备可控 Streamable HTTP 服务、固定版本 npm/uvx 包及 Runtime。</x:v>
      </x:c>
      <x:c r="H243" s="3" t="str">
        <x:v>服务超时、认证失败、协议不合法</x:v>
      </x:c>
      <x:c r="I243" s="3" t="str">
        <x:v>1. 执行测试
2. 修正配置
3. 重新测试</x:v>
      </x:c>
      <x:c r="J243" s="3" t="str">
        <x:v>1. 显示安全错误并保留配置
2. 修正后可变为可用
3. 测试本身不扣 User Credits</x:v>
      </x:c>
      <x:c r="K243" s="3" t="str">
        <x:v>S01;S03;S13;S14</x:v>
      </x:c>
      <x:c r="L243" s="3" t="str">
        <x:v>实现路径存在，待执行验收</x:v>
      </x:c>
      <x:c r="M243" s="12" t="str">
        <x:v>未执行</x:v>
      </x:c>
      <x:c r="N243" s="12" t="str"/>
      <x:c r="O243" s="12" t="str"/>
      <x:c r="P243" s="12" t="str"/>
    </x:row>
    <x:row r="244" ht="57" customHeight="1">
      <x:c r="A244" s="3" t="str">
        <x:v>MCP-008</x:v>
      </x:c>
      <x:c r="B244" s="3" t="str">
        <x:v>MCP Connector</x:v>
      </x:c>
      <x:c r="C244" s="3" t="str">
        <x:v>更新配置需重验新修订</x:v>
      </x:c>
      <x:c r="D244" s="3" t="str">
        <x:v>P0</x:v>
      </x:c>
      <x:c r="E244" s="3" t="str">
        <x:v>快照</x:v>
      </x:c>
      <x:c r="F244" s="3" t="str">
        <x:v>Web + API + 隔离 MCP 测试；真实兼容用 E2</x:v>
      </x:c>
      <x:c r="G244" s="3" t="str">
        <x:v>A/B 各有私有 MCP；准备可控 Streamable HTTP 服务、固定版本 npm/uvx 包及 Runtime。</x:v>
      </x:c>
      <x:c r="H244" s="3" t="str">
        <x:v>C1 v1 已测试且被旧选择保留</x:v>
      </x:c>
      <x:c r="I244" s="3" t="str">
        <x:v>1. 更新 URL/包配置为 v2
2. 尝试新选择
3. 再测试</x:v>
      </x:c>
      <x:c r="J244" s="3" t="str">
        <x:v>1. 新修订通过验证后才能新选
2. 旧快照精确修订不被覆写</x:v>
      </x:c>
      <x:c r="K244" s="3" t="str">
        <x:v>S01;S03;S13;S14</x:v>
      </x:c>
      <x:c r="L244" s="3" t="str">
        <x:v>实现路径存在，待执行验收</x:v>
      </x:c>
      <x:c r="M244" s="12" t="str">
        <x:v>未执行</x:v>
      </x:c>
      <x:c r="N244" s="12" t="str"/>
      <x:c r="O244" s="12" t="str"/>
      <x:c r="P244" s="12" t="str"/>
    </x:row>
    <x:row r="245" ht="57" customHeight="1">
      <x:c r="A245" s="3" t="str">
        <x:v>MCP-009</x:v>
      </x:c>
      <x:c r="B245" s="3" t="str">
        <x:v>MCP Connector</x:v>
      </x:c>
      <x:c r="C245" s="3" t="str">
        <x:v>各 Runtime 配置路径正确</x:v>
      </x:c>
      <x:c r="D245" s="3" t="str">
        <x:v>P0</x:v>
      </x:c>
      <x:c r="E245" s="3" t="str">
        <x:v>契约</x:v>
      </x:c>
      <x:c r="F245" s="3" t="str">
        <x:v>Web + API + 隔离 MCP 测试；真实兼容用 E2</x:v>
      </x:c>
      <x:c r="G245" s="3" t="str">
        <x:v>A/B 各有私有 MCP；准备可控 Streamable HTTP 服务、固定版本 npm/uvx 包及 Runtime。</x:v>
      </x:c>
      <x:c r="H245" s="3" t="str">
        <x:v>Claude/Codex/Hermes/OpenClaw 分别选择同一已测试 MCP</x:v>
      </x:c>
      <x:c r="I245" s="3" t="str">
        <x:v>1. 经 recording harness 执行
2. 检查受控配置与参数</x:v>
      </x:c>
      <x:c r="J245" s="3" t="str">
        <x:v>1. 按各 Driver 配置契约注入
2. Secret 通过临时凭据
3. 不在普通快照泄漏</x:v>
      </x:c>
      <x:c r="K245" s="3" t="str">
        <x:v>S01;S03;S13;S14</x:v>
      </x:c>
      <x:c r="L245" s="3" t="str">
        <x:v>实现路径存在，待执行验收</x:v>
      </x:c>
      <x:c r="M245" s="12" t="str">
        <x:v>未执行</x:v>
      </x:c>
      <x:c r="N245" s="12" t="str"/>
      <x:c r="O245" s="12" t="str"/>
      <x:c r="P245" s="12" t="str"/>
    </x:row>
    <x:row r="246" ht="42" customHeight="1">
      <x:c r="A246" s="3" t="str">
        <x:v>MCP-010</x:v>
      </x:c>
      <x:c r="B246" s="3" t="str">
        <x:v>MCP Connector</x:v>
      </x:c>
      <x:c r="C246" s="3" t="str">
        <x:v>PI Agent 带 MCP fail closed</x:v>
      </x:c>
      <x:c r="D246" s="3" t="str">
        <x:v>P0</x:v>
      </x:c>
      <x:c r="E246" s="3" t="str">
        <x:v>能力</x:v>
      </x:c>
      <x:c r="F246" s="3" t="str">
        <x:v>Web + API + 隔离 MCP 测试；真实兼容用 E2</x:v>
      </x:c>
      <x:c r="G246" s="3" t="str">
        <x:v>A/B 各有私有 MCP；准备可控 Streamable HTTP 服务、固定版本 npm/uvx 包及 Runtime。</x:v>
      </x:c>
      <x:c r="H246" s="3" t="str">
        <x:v>PI Agent 0.84.4；会话选择 MCP</x:v>
      </x:c>
      <x:c r="I246" s="3" t="str">
        <x:v>1. 尝试启动 Stage
2. 查看错误和 MCP 进程</x:v>
      </x:c>
      <x:c r="J246" s="3" t="str">
        <x:v>1. 未有明确 PI Extension 支持时拒绝
2. 不声称 PI 原生 MCP 可用</x:v>
      </x:c>
      <x:c r="K246" s="3" t="str">
        <x:v>S01;S03;S13;S14</x:v>
      </x:c>
      <x:c r="L246" s="3" t="str">
        <x:v>当前不支持 PI MCP；按拒绝路径验收</x:v>
      </x:c>
      <x:c r="M246" s="12" t="str">
        <x:v>未执行</x:v>
      </x:c>
      <x:c r="N246" s="12" t="str"/>
      <x:c r="O246" s="12" t="str"/>
      <x:c r="P246" s="12" t="str"/>
    </x:row>
    <x:row r="247" ht="57" customHeight="1">
      <x:c r="A247" s="3" t="str">
        <x:v>MCP-011</x:v>
      </x:c>
      <x:c r="B247" s="3" t="str">
        <x:v>MCP Connector</x:v>
      </x:c>
      <x:c r="C247" s="3" t="str">
        <x:v>删除影响与历史保留</x:v>
      </x:c>
      <x:c r="D247" s="3" t="str">
        <x:v>P0</x:v>
      </x:c>
      <x:c r="E247" s="3" t="str">
        <x:v>依赖</x:v>
      </x:c>
      <x:c r="F247" s="3" t="str">
        <x:v>Web + API + 隔离 MCP 测试；真实兼容用 E2</x:v>
      </x:c>
      <x:c r="G247" s="3" t="str">
        <x:v>A/B 各有私有 MCP；准备可控 Streamable HTTP 服务、固定版本 npm/uvx 包及 Runtime。</x:v>
      </x:c>
      <x:c r="H247" s="3" t="str">
        <x:v>C1 被多个可变 Expert 选中</x:v>
      </x:c>
      <x:c r="I247" s="3" t="str">
        <x:v>1. 预览受影响专家
2. 确认删除
3. 读历史快照</x:v>
      </x:c>
      <x:c r="J247" s="3" t="str">
        <x:v>1. 事务性解除可变引用
2. 历史修订不改写
3. 后续执行仍需可用性与授权校验</x:v>
      </x:c>
      <x:c r="K247" s="3" t="str">
        <x:v>S01;S03;S13;S14</x:v>
      </x:c>
      <x:c r="L247" s="3" t="str">
        <x:v>实现路径存在，待执行验收</x:v>
      </x:c>
      <x:c r="M247" s="12" t="str">
        <x:v>未执行</x:v>
      </x:c>
      <x:c r="N247" s="12" t="str">
        <x:v>部分步骤证据：E2E-039 通过。完整结果见“E2E执行”。未执行全部原用例步骤，不据此标记整条通过。</x:v>
      </x:c>
      <x:c r="O247" s="12" t="str"/>
      <x:c r="P247" s="12" t="str">
        <x:v>Codex / 2026-09-06 17:21 Asia/Shanghai</x:v>
      </x:c>
    </x:row>
    <x:row r="248" ht="57" customHeight="1">
      <x:c r="A248" s="3" t="str">
        <x:v>MCP-012</x:v>
      </x:c>
      <x:c r="B248" s="3" t="str">
        <x:v>MCP Connector</x:v>
      </x:c>
      <x:c r="C248" s="3" t="str">
        <x:v>MCP 宿主与内网隔离</x:v>
      </x:c>
      <x:c r="D248" s="3" t="str">
        <x:v>P0</x:v>
      </x:c>
      <x:c r="E248" s="3" t="str">
        <x:v>安全</x:v>
      </x:c>
      <x:c r="F248" s="3" t="str">
        <x:v>Web + API + 隔离 MCP 测试；真实兼容用 E2</x:v>
      </x:c>
      <x:c r="G248" s="3" t="str">
        <x:v>A/B 各有私有 MCP；准备可控 Streamable HTTP 服务、固定版本 npm/uvx 包及 Runtime。</x:v>
      </x:c>
      <x:c r="H248" s="3" t="str">
        <x:v>MCP 尝试访问宿主文件和平台私网</x:v>
      </x:c>
      <x:c r="I248" s="3" t="str">
        <x:v>1. 在 Linux/runsc 测试 MCP
2. 检查网络及挂载</x:v>
      </x:c>
      <x:c r="J248" s="3" t="str">
        <x:v>1. 只能在隔离 Runtime 环境
2. 私网与宿主访问拒绝
3. 取消后进程清理</x:v>
      </x:c>
      <x:c r="K248" s="3" t="str">
        <x:v>S01;S03;S13;S14</x:v>
      </x:c>
      <x:c r="L248" s="3" t="str">
        <x:v>需 Linux + runsc 验证，未执行</x:v>
      </x:c>
      <x:c r="M248" s="12" t="str">
        <x:v>未执行</x:v>
      </x:c>
      <x:c r="N248" s="12" t="str"/>
      <x:c r="O248" s="12" t="str"/>
      <x:c r="P248" s="12" t="str"/>
    </x:row>
    <x:row r="249" ht="57" customHeight="1">
      <x:c r="A249" s="3" t="str">
        <x:v>CLI-001</x:v>
      </x:c>
      <x:c r="B249" s="3" t="str">
        <x:v>CLI Connector 与飞书授权</x:v>
      </x:c>
      <x:c r="C249" s="3" t="str">
        <x:v>仅管理员创建 CLI Definition</x:v>
      </x:c>
      <x:c r="D249" s="3" t="str">
        <x:v>P0</x:v>
      </x:c>
      <x:c r="E249" s="3" t="str">
        <x:v>权限</x:v>
      </x:c>
      <x:c r="F249" s="3" t="str">
        <x:v>Web + API + Builder/Wrapper；外部授权需 E3</x:v>
      </x:c>
      <x:c r="G249" s="3" t="str">
        <x:v>管理员配置测试 Definition；A/B 使用专用飞书测试应用和账号；不使用生产业务数据。</x:v>
      </x:c>
      <x:c r="H249" s="3" t="str">
        <x:v>Admin/A 两身份；合法固定版本 Definition</x:v>
      </x:c>
      <x:c r="I249" s="3" t="str">
        <x:v>1. 管理员创建
2. A 查看目录并尝试同一创建 API</x:v>
      </x:c>
      <x:c r="J249" s="3" t="str">
        <x:v>1. 管理员可创建
2. 普通用户只读可用定义
3. 写请求 403</x:v>
      </x:c>
      <x:c r="K249" s="3" t="str">
        <x:v>S01;S15;S16;S28</x:v>
      </x:c>
      <x:c r="L249" s="3" t="str">
        <x:v>实现路径存在，待执行验收</x:v>
      </x:c>
      <x:c r="M249" s="12" t="str">
        <x:v>未执行</x:v>
      </x:c>
      <x:c r="N249" s="12" t="str">
        <x:v>部分步骤证据：E2E-023 通过。完整结果见“E2E执行”。未执行全部原用例步骤，不据此标记整条通过。</x:v>
      </x:c>
      <x:c r="O249" s="12" t="str"/>
      <x:c r="P249" s="12" t="str">
        <x:v>Codex / 2026-09-06 17:21 Asia/Shanghai</x:v>
      </x:c>
    </x:row>
    <x:row r="250" ht="57" customHeight="1">
      <x:c r="A250" s="3" t="str">
        <x:v>CLI-002</x:v>
      </x:c>
      <x:c r="B250" s="3" t="str">
        <x:v>CLI Connector 与飞书授权</x:v>
      </x:c>
      <x:c r="C250" s="3" t="str">
        <x:v>Definition 可修改字段</x:v>
      </x:c>
      <x:c r="D250" s="3" t="str">
        <x:v>P1</x:v>
      </x:c>
      <x:c r="E250" s="3" t="str">
        <x:v>正向</x:v>
      </x:c>
      <x:c r="F250" s="3" t="str">
        <x:v>Web + API + Builder/Wrapper；外部授权需 E3</x:v>
      </x:c>
      <x:c r="G250" s="3" t="str">
        <x:v>管理员配置测试 Definition；A/B 使用专用飞书测试应用和账号；不使用生产业务数据。</x:v>
      </x:c>
      <x:c r="H250" s="3" t="str">
        <x:v>draft/failed 定义；修正包版本或结构化能力</x:v>
      </x:c>
      <x:c r="I250" s="3" t="str">
        <x:v>1. 管理员打开编辑
2. 修改保存
3. 查看详情</x:v>
      </x:c>
      <x:c r="J250" s="3" t="str">
        <x:v>1. 可变状态保存受控字段
2. 不能注入任意安装或认证脚本</x:v>
      </x:c>
      <x:c r="K250" s="3" t="str">
        <x:v>S01;S15;S16;S28</x:v>
      </x:c>
      <x:c r="L250" s="3" t="str">
        <x:v>实现路径存在，待执行验收</x:v>
      </x:c>
      <x:c r="M250" s="12" t="str">
        <x:v>未执行</x:v>
      </x:c>
      <x:c r="N250" s="12" t="str"/>
      <x:c r="O250" s="12" t="str"/>
      <x:c r="P250" s="12" t="str"/>
    </x:row>
    <x:row r="251" ht="57" customHeight="1">
      <x:c r="A251" s="3" t="str">
        <x:v>CLI-003</x:v>
      </x:c>
      <x:c r="B251" s="3" t="str">
        <x:v>CLI Connector 与飞书授权</x:v>
      </x:c>
      <x:c r="C251" s="3" t="str">
        <x:v>固定包与 integrity 验证</x:v>
      </x:c>
      <x:c r="D251" s="3" t="str">
        <x:v>P0</x:v>
      </x:c>
      <x:c r="E251" s="3" t="str">
        <x:v>安全</x:v>
      </x:c>
      <x:c r="F251" s="3" t="str">
        <x:v>Web + API + Builder/Wrapper；外部授权需 E3</x:v>
      </x:c>
      <x:c r="G251" s="3" t="str">
        <x:v>管理员配置测试 Definition；A/B 使用专用飞书测试应用和账号；不使用生产业务数据。</x:v>
      </x:c>
      <x:c r="H251" s="3" t="str">
        <x:v>精确 npm package/version/integrity/executable/architecture</x:v>
      </x:c>
      <x:c r="I251" s="3" t="str">
        <x:v>1. 提交合法定义
2. 再提交浮动版本与错误 integrity
3. 发布</x:v>
      </x:c>
      <x:c r="J251" s="3" t="str">
        <x:v>1. 合法定义可进入构建
2. 浮动/完整性错误 fail closed
3. 不发布不一致 bundle</x:v>
      </x:c>
      <x:c r="K251" s="3" t="str">
        <x:v>S01;S15;S16;S28</x:v>
      </x:c>
      <x:c r="L251" s="3" t="str">
        <x:v>实现路径存在，待执行验收</x:v>
      </x:c>
      <x:c r="M251" s="12" t="str">
        <x:v>未执行</x:v>
      </x:c>
      <x:c r="N251" s="12" t="str"/>
      <x:c r="O251" s="12" t="str"/>
      <x:c r="P251" s="12" t="str"/>
    </x:row>
    <x:row r="252" ht="57" customHeight="1">
      <x:c r="A252" s="3" t="str">
        <x:v>CLI-004</x:v>
      </x:c>
      <x:c r="B252" s="3" t="str">
        <x:v>CLI Connector 与飞书授权</x:v>
      </x:c>
      <x:c r="C252" s="3" t="str">
        <x:v>隔离构建无用户凭据</x:v>
      </x:c>
      <x:c r="D252" s="3" t="str">
        <x:v>P0</x:v>
      </x:c>
      <x:c r="E252" s="3" t="str">
        <x:v>安全</x:v>
      </x:c>
      <x:c r="F252" s="3" t="str">
        <x:v>Web + API + Builder/Wrapper；外部授权需 E3</x:v>
      </x:c>
      <x:c r="G252" s="3" t="str">
        <x:v>管理员配置测试 Definition；A/B 使用专用飞书测试应用和账号；不使用生产业务数据。</x:v>
      </x:c>
      <x:c r="H252" s="3" t="str">
        <x:v>Builder 接入且配置 RepoDigest、超时和 Egress</x:v>
      </x:c>
      <x:c r="I252" s="3" t="str">
        <x:v>1. 发布定义
2. 观察隔离构建环境与 bundle</x:v>
      </x:c>
      <x:c r="J252" s="3" t="str">
        <x:v>1. 构建发生在 User Run 外
2. 无 User Secret
3. 产物不可变且校验 SHA-256</x:v>
      </x:c>
      <x:c r="K252" s="3" t="str">
        <x:v>S01;S15;S16;S28</x:v>
      </x:c>
      <x:c r="L252" s="3" t="str">
        <x:v>实现路径存在，待执行验收</x:v>
      </x:c>
      <x:c r="M252" s="12" t="str">
        <x:v>未执行</x:v>
      </x:c>
      <x:c r="N252" s="12" t="str"/>
      <x:c r="O252" s="12" t="str"/>
      <x:c r="P252" s="12" t="str"/>
    </x:row>
    <x:row r="253" ht="57" customHeight="1">
      <x:c r="A253" s="3" t="str">
        <x:v>CLI-005</x:v>
      </x:c>
      <x:c r="B253" s="3" t="str">
        <x:v>CLI Connector 与飞书授权</x:v>
      </x:c>
      <x:c r="C253" s="3" t="str">
        <x:v>Builder 缺失时发布拒绝</x:v>
      </x:c>
      <x:c r="D253" s="3" t="str">
        <x:v>P0</x:v>
      </x:c>
      <x:c r="E253" s="3" t="str">
        <x:v>异常</x:v>
      </x:c>
      <x:c r="F253" s="3" t="str">
        <x:v>Web + API + Builder/Wrapper；外部授权需 E3</x:v>
      </x:c>
      <x:c r="G253" s="3" t="str">
        <x:v>管理员配置测试 Definition；A/B 使用专用飞书测试应用和账号；不使用生产业务数据。</x:v>
      </x:c>
      <x:c r="H253" s="3" t="str">
        <x:v>关闭 Builder 或缺少隔离配置</x:v>
      </x:c>
      <x:c r="I253" s="3" t="str">
        <x:v>1. 发布 draft Definition
2. 查看 lifecycle 与错误</x:v>
      </x:c>
      <x:c r="J253" s="3" t="str">
        <x:v>1. 不可绕过构建直接 available
2. 明确失败
3. 不在宿主执行 npm 安装</x:v>
      </x:c>
      <x:c r="K253" s="3" t="str">
        <x:v>S01;S15;S16;S28</x:v>
      </x:c>
      <x:c r="L253" s="3" t="str">
        <x:v>实现路径存在，待执行验收</x:v>
      </x:c>
      <x:c r="M253" s="12" t="str">
        <x:v>未执行</x:v>
      </x:c>
      <x:c r="N253" s="12" t="str"/>
      <x:c r="O253" s="12" t="str"/>
      <x:c r="P253" s="12" t="str"/>
    </x:row>
    <x:row r="254" ht="42" customHeight="1">
      <x:c r="A254" s="3" t="str">
        <x:v>CLI-006</x:v>
      </x:c>
      <x:c r="B254" s="3" t="str">
        <x:v>CLI Connector 与飞书授权</x:v>
      </x:c>
      <x:c r="C254" s="3" t="str">
        <x:v>生命周期与可用性门禁</x:v>
      </x:c>
      <x:c r="D254" s="3" t="str">
        <x:v>P0</x:v>
      </x:c>
      <x:c r="E254" s="3" t="str">
        <x:v>状态</x:v>
      </x:c>
      <x:c r="F254" s="3" t="str">
        <x:v>Web + API + Builder/Wrapper；外部授权需 E3</x:v>
      </x:c>
      <x:c r="G254" s="3" t="str">
        <x:v>管理员配置测试 Definition；A/B 使用专用飞书测试应用和账号；不使用生产业务数据。</x:v>
      </x:c>
      <x:c r="H254" s="3" t="str">
        <x:v>draft/building/testing/available/failed/disabled 样本</x:v>
      </x:c>
      <x:c r="I254" s="3" t="str">
        <x:v>1. 发布并观察状态
2. 对缺失 Conformance 的版本尝试标 available</x:v>
      </x:c>
      <x:c r="J254" s="3" t="str">
        <x:v>1. 状态与真实阶段一致
2. 只有 exact bundle 与 Runtime RepoDigest 组合验收才可用</x:v>
      </x:c>
      <x:c r="K254" s="3" t="str">
        <x:v>S01;S15;S16;S28</x:v>
      </x:c>
      <x:c r="L254" s="3" t="str">
        <x:v>实现路径存在，待执行验收</x:v>
      </x:c>
      <x:c r="M254" s="12" t="str">
        <x:v>未执行</x:v>
      </x:c>
      <x:c r="N254" s="12" t="str"/>
      <x:c r="O254" s="12" t="str"/>
      <x:c r="P254" s="12" t="str"/>
    </x:row>
    <x:row r="255" ht="42" customHeight="1">
      <x:c r="A255" s="3" t="str">
        <x:v>CLI-007</x:v>
      </x:c>
      <x:c r="B255" s="3" t="str">
        <x:v>CLI Connector 与飞书授权</x:v>
      </x:c>
      <x:c r="C255" s="3" t="str">
        <x:v>架构与 Runtime Digest 匹配</x:v>
      </x:c>
      <x:c r="D255" s="3" t="str">
        <x:v>P0</x:v>
      </x:c>
      <x:c r="E255" s="3" t="str">
        <x:v>安全</x:v>
      </x:c>
      <x:c r="F255" s="3" t="str">
        <x:v>Web + API + Builder/Wrapper；外部授权需 E3</x:v>
      </x:c>
      <x:c r="G255" s="3" t="str">
        <x:v>管理员配置测试 Definition；A/B 使用专用飞书测试应用和账号；不使用生产业务数据。</x:v>
      </x:c>
      <x:c r="H255" s="3" t="str">
        <x:v>bundle 仅批准某架构和 R1 digest</x:v>
      </x:c>
      <x:c r="I255" s="3" t="str">
        <x:v>1. 在不匹配架构或 R2 digest 使用
2. 查看 Wrapper</x:v>
      </x:c>
      <x:c r="J255" s="3" t="str">
        <x:v>1. 执行前拒绝
2. 不凭相同 Runtime 品牌绕过镜像匹配</x:v>
      </x:c>
      <x:c r="K255" s="3" t="str">
        <x:v>S01;S15;S16;S28</x:v>
      </x:c>
      <x:c r="L255" s="3" t="str">
        <x:v>实现路径存在，待执行验收</x:v>
      </x:c>
      <x:c r="M255" s="12" t="str">
        <x:v>未执行</x:v>
      </x:c>
      <x:c r="N255" s="12" t="str"/>
      <x:c r="O255" s="12" t="str"/>
      <x:c r="P255" s="12" t="str"/>
    </x:row>
    <x:row r="256" ht="57" customHeight="1">
      <x:c r="A256" s="3" t="str">
        <x:v>CLI-008</x:v>
      </x:c>
      <x:c r="B256" s="3" t="str">
        <x:v>CLI Connector 与飞书授权</x:v>
      </x:c>
      <x:c r="C256" s="3" t="str">
        <x:v>管理员健康页权限</x:v>
      </x:c>
      <x:c r="D256" s="3" t="str">
        <x:v>P1</x:v>
      </x:c>
      <x:c r="E256" s="3" t="str">
        <x:v>权限</x:v>
      </x:c>
      <x:c r="F256" s="3" t="str">
        <x:v>Web + API + Builder/Wrapper；外部授权需 E3</x:v>
      </x:c>
      <x:c r="G256" s="3" t="str">
        <x:v>管理员配置测试 Definition；A/B 使用专用飞书测试应用和账号；不使用生产业务数据。</x:v>
      </x:c>
      <x:c r="H256" s="3" t="str">
        <x:v>有多个用户 Connector 使用状态</x:v>
      </x:c>
      <x:c r="I256" s="3" t="str">
        <x:v>1. Admin 读取聚合 CLI health
2. A 请求同接口</x:v>
      </x:c>
      <x:c r="J256" s="3" t="str">
        <x:v>1. 仅管理员读取聚合健康
2. 普通用户 403
3. 健康信息不暴露授权 Secret</x:v>
      </x:c>
      <x:c r="K256" s="3" t="str">
        <x:v>S01;S15;S16;S28</x:v>
      </x:c>
      <x:c r="L256" s="3" t="str">
        <x:v>实现路径存在，待执行验收</x:v>
      </x:c>
      <x:c r="M256" s="12" t="str">
        <x:v>未执行</x:v>
      </x:c>
      <x:c r="N256" s="12" t="str">
        <x:v>部分步骤证据：E2E-023 通过。完整结果见“E2E执行”。未执行全部原用例步骤，不据此标记整条通过。</x:v>
      </x:c>
      <x:c r="O256" s="12" t="str"/>
      <x:c r="P256" s="12" t="str">
        <x:v>Codex / 2026-09-06 17:21 Asia/Shanghai</x:v>
      </x:c>
    </x:row>
    <x:row r="257" ht="42" customHeight="1">
      <x:c r="A257" s="3" t="str">
        <x:v>CLI-009</x:v>
      </x:c>
      <x:c r="B257" s="3" t="str">
        <x:v>CLI Connector 与飞书授权</x:v>
      </x:c>
      <x:c r="C257" s="3" t="str">
        <x:v>普通用户浏览可用定义</x:v>
      </x:c>
      <x:c r="D257" s="3" t="str">
        <x:v>P1</x:v>
      </x:c>
      <x:c r="E257" s="3" t="str">
        <x:v>正向</x:v>
      </x:c>
      <x:c r="F257" s="3" t="str">
        <x:v>Web + API + Builder/Wrapper；外部授权需 E3</x:v>
      </x:c>
      <x:c r="G257" s="3" t="str">
        <x:v>管理员配置测试 Definition；A/B 使用专用飞书测试应用和账号；不使用生产业务数据。</x:v>
      </x:c>
      <x:c r="H257" s="3" t="str">
        <x:v>A 未启用、未授权</x:v>
      </x:c>
      <x:c r="I257" s="3" t="str">
        <x:v>1. 打开 Connectors 目录
2. 查看 available 定义</x:v>
      </x:c>
      <x:c r="J257" s="3" t="str">
        <x:v>1. 无需先授权才能浏览
2. 只可选择符合可用性条件的定义</x:v>
      </x:c>
      <x:c r="K257" s="3" t="str">
        <x:v>S01;S15;S16;S28</x:v>
      </x:c>
      <x:c r="L257" s="3" t="str">
        <x:v>实现路径存在，待执行验收</x:v>
      </x:c>
      <x:c r="M257" s="12" t="str">
        <x:v>未执行</x:v>
      </x:c>
      <x:c r="N257" s="12" t="str"/>
      <x:c r="O257" s="12" t="str"/>
      <x:c r="P257" s="12" t="str"/>
    </x:row>
    <x:row r="258" ht="57" customHeight="1">
      <x:c r="A258" s="3" t="str">
        <x:v>CLI-010</x:v>
      </x:c>
      <x:c r="B258" s="3" t="str">
        <x:v>CLI Connector 与飞书授权</x:v>
      </x:c>
      <x:c r="C258" s="3" t="str">
        <x:v>飞书启用幂等创建单应用</x:v>
      </x:c>
      <x:c r="D258" s="3" t="str">
        <x:v>P0</x:v>
      </x:c>
      <x:c r="E258" s="3" t="str">
        <x:v>幂等</x:v>
      </x:c>
      <x:c r="F258" s="3" t="str">
        <x:v>Web + API + Builder/Wrapper；外部授权需 E3</x:v>
      </x:c>
      <x:c r="G258" s="3" t="str">
        <x:v>管理员配置测试 Definition；A/B 使用专用飞书测试应用和账号；不使用生产业务数据。</x:v>
      </x:c>
      <x:c r="H258" s="3" t="str">
        <x:v>A 首次启用飞书；并发两请求</x:v>
      </x:c>
      <x:c r="I258" s="3" t="str">
        <x:v>1. 同时启用
2. 完成设备流注册
3. 再次启用</x:v>
      </x:c>
      <x:c r="J258" s="3" t="str">
        <x:v>1. A 仅一个 Feishu CLI Application
2. 重复请求复用状态而不重复注册</x:v>
      </x:c>
      <x:c r="K258" s="3" t="str">
        <x:v>S01;S15;S16;S28</x:v>
      </x:c>
      <x:c r="L258" s="3" t="str">
        <x:v>实现路径存在，待执行验收</x:v>
      </x:c>
      <x:c r="M258" s="12" t="str">
        <x:v>未执行</x:v>
      </x:c>
      <x:c r="N258" s="12" t="str">
        <x:v>部分步骤证据：E2E-033 阻塞。完整结果见“E2E执行”。未执行全部原用例步骤，不据此标记整条通过。</x:v>
      </x:c>
      <x:c r="O258" s="12" t="str"/>
      <x:c r="P258" s="12" t="str">
        <x:v>Codex / 2026-09-06 17:21 Asia/Shanghai</x:v>
      </x:c>
    </x:row>
    <x:row r="259" ht="57" customHeight="1">
      <x:c r="A259" s="3" t="str">
        <x:v>CLI-011</x:v>
      </x:c>
      <x:c r="B259" s="3" t="str">
        <x:v>CLI Connector 与飞书授权</x:v>
      </x:c>
      <x:c r="C259" s="3" t="str">
        <x:v>注册轮询与失败反馈</x:v>
      </x:c>
      <x:c r="D259" s="3" t="str">
        <x:v>P1</x:v>
      </x:c>
      <x:c r="E259" s="3" t="str">
        <x:v>恢复</x:v>
      </x:c>
      <x:c r="F259" s="3" t="str">
        <x:v>Web + API + Builder/Wrapper；外部授权需 E3</x:v>
      </x:c>
      <x:c r="G259" s="3" t="str">
        <x:v>管理员配置测试 Definition；A/B 使用专用飞书测试应用和账号；不使用生产业务数据。</x:v>
      </x:c>
      <x:c r="H259" s="3" t="str">
        <x:v>应用注册 pending/success/expired 样本</x:v>
      </x:c>
      <x:c r="I259" s="3" t="str">
        <x:v>1. 开始注册
2. 观察轮询
3. 分别模拟完成和到期</x:v>
      </x:c>
      <x:c r="J259" s="3" t="str">
        <x:v>1. 成功后显示已启用
2. 过期/失败可恢复
3. 不会无限显示成功等待</x:v>
      </x:c>
      <x:c r="K259" s="3" t="str">
        <x:v>S01;S15;S16;S28</x:v>
      </x:c>
      <x:c r="L259" s="3" t="str">
        <x:v>实现路径存在，待执行验收</x:v>
      </x:c>
      <x:c r="M259" s="12" t="str">
        <x:v>未执行</x:v>
      </x:c>
      <x:c r="N259" s="12" t="str"/>
      <x:c r="O259" s="12" t="str"/>
      <x:c r="P259" s="12" t="str"/>
    </x:row>
    <x:row r="260" ht="57" customHeight="1">
      <x:c r="A260" s="3" t="str">
        <x:v>CLI-012</x:v>
      </x:c>
      <x:c r="B260" s="3" t="str">
        <x:v>CLI Connector 与飞书授权</x:v>
      </x:c>
      <x:c r="C260" s="3" t="str">
        <x:v>应用名称和开发者链接</x:v>
      </x:c>
      <x:c r="D260" s="3" t="str">
        <x:v>P1</x:v>
      </x:c>
      <x:c r="E260" s="3" t="str">
        <x:v>正向</x:v>
      </x:c>
      <x:c r="F260" s="3" t="str">
        <x:v>Web + API + Builder/Wrapper；外部授权需 E3</x:v>
      </x:c>
      <x:c r="G260" s="3" t="str">
        <x:v>管理员配置测试 Definition；A/B 使用专用飞书测试应用和账号；不使用生产业务数据。</x:v>
      </x:c>
      <x:c r="H260" s="3" t="str">
        <x:v>Provider 返回应用名不同于平台默认名</x:v>
      </x:c>
      <x:c r="I260" s="3" t="str">
        <x:v>1. 完成启用
2. 查看应用信息和控制台链接</x:v>
      </x:c>
      <x:c r="J260" s="3" t="str">
        <x:v>1. 显示 Provider 实际名称
2. 提供正确手工管理入口
3. 不声称自动命名成功</x:v>
      </x:c>
      <x:c r="K260" s="3" t="str">
        <x:v>S01;S15;S16;S28</x:v>
      </x:c>
      <x:c r="L260" s="3" t="str">
        <x:v>实现路径存在，待执行验收</x:v>
      </x:c>
      <x:c r="M260" s="12" t="str">
        <x:v>未执行</x:v>
      </x:c>
      <x:c r="N260" s="12" t="str"/>
      <x:c r="O260" s="12" t="str"/>
      <x:c r="P260" s="12" t="str"/>
    </x:row>
    <x:row r="261" ht="42" customHeight="1">
      <x:c r="A261" s="3" t="str">
        <x:v>CLI-013</x:v>
      </x:c>
      <x:c r="B261" s="3" t="str">
        <x:v>CLI Connector 与飞书授权</x:v>
      </x:c>
      <x:c r="C261" s="3" t="str">
        <x:v>不同用户启用和授权隔离</x:v>
      </x:c>
      <x:c r="D261" s="3" t="str">
        <x:v>P0</x:v>
      </x:c>
      <x:c r="E261" s="3" t="str">
        <x:v>隔离</x:v>
      </x:c>
      <x:c r="F261" s="3" t="str">
        <x:v>Web + API + Builder/Wrapper；外部授权需 E3</x:v>
      </x:c>
      <x:c r="G261" s="3" t="str">
        <x:v>管理员配置测试 Definition；A/B 使用专用飞书测试应用和账号；不使用生产业务数据。</x:v>
      </x:c>
      <x:c r="H261" s="3" t="str">
        <x:v>A/B 各启用飞书</x:v>
      </x:c>
      <x:c r="I261" s="3" t="str">
        <x:v>1. 分别授权外部账号
2. 查看 enablement 和 authorization 列表</x:v>
      </x:c>
      <x:c r="J261" s="3" t="str">
        <x:v>1. 应用与账号凭据归各自 User
2. 不可看到或借用另一用户授权</x:v>
      </x:c>
      <x:c r="K261" s="3" t="str">
        <x:v>S01;S15;S16;S28</x:v>
      </x:c>
      <x:c r="L261" s="3" t="str">
        <x:v>实现路径存在，待执行验收</x:v>
      </x:c>
      <x:c r="M261" s="12" t="str">
        <x:v>未执行</x:v>
      </x:c>
      <x:c r="N261" s="12" t="str"/>
      <x:c r="O261" s="12" t="str"/>
      <x:c r="P261" s="12" t="str"/>
    </x:row>
    <x:row r="262" ht="57" customHeight="1">
      <x:c r="A262" s="3" t="str">
        <x:v>CLI-014</x:v>
      </x:c>
      <x:c r="B262" s="3" t="str">
        <x:v>CLI Connector 与飞书授权</x:v>
      </x:c>
      <x:c r="C262" s="3" t="str">
        <x:v>同应用多个账号授权</x:v>
      </x:c>
      <x:c r="D262" s="3" t="str">
        <x:v>P0</x:v>
      </x:c>
      <x:c r="E262" s="3" t="str">
        <x:v>正向</x:v>
      </x:c>
      <x:c r="F262" s="3" t="str">
        <x:v>Web + API + Builder/Wrapper；外部授权需 E3</x:v>
      </x:c>
      <x:c r="G262" s="3" t="str">
        <x:v>管理员配置测试 Definition；A/B 使用专用飞书测试应用和账号；不使用生产业务数据。</x:v>
      </x:c>
      <x:c r="H262" s="3" t="str">
        <x:v>A 已启用一应用；两个外部测试账号</x:v>
      </x:c>
      <x:c r="I262" s="3" t="str">
        <x:v>1. 依次开始并完成账号授权
2. 列出授权
3. 选择执行身份</x:v>
      </x:c>
      <x:c r="J262" s="3" t="str">
        <x:v>1. 多个账号独立授权
2. 共享 A 的应用身份但 Token 不混用</x:v>
      </x:c>
      <x:c r="K262" s="3" t="str">
        <x:v>S01;S15;S16;S28</x:v>
      </x:c>
      <x:c r="L262" s="3" t="str">
        <x:v>实现路径存在，待执行验收</x:v>
      </x:c>
      <x:c r="M262" s="12" t="str">
        <x:v>未执行</x:v>
      </x:c>
      <x:c r="N262" s="12" t="str"/>
      <x:c r="O262" s="12" t="str"/>
      <x:c r="P262" s="12" t="str"/>
    </x:row>
    <x:row r="263" ht="57" customHeight="1">
      <x:c r="A263" s="3" t="str">
        <x:v>CLI-015</x:v>
      </x:c>
      <x:c r="B263" s="3" t="str">
        <x:v>CLI Connector 与飞书授权</x:v>
      </x:c>
      <x:c r="C263" s="3" t="str">
        <x:v>设备授权等待与过期</x:v>
      </x:c>
      <x:c r="D263" s="3" t="str">
        <x:v>P1</x:v>
      </x:c>
      <x:c r="E263" s="3" t="str">
        <x:v>异常</x:v>
      </x:c>
      <x:c r="F263" s="3" t="str">
        <x:v>Web + API + Builder/Wrapper；外部授权需 E3</x:v>
      </x:c>
      <x:c r="G263" s="3" t="str">
        <x:v>管理员配置测试 Definition；A/B 使用专用飞书测试应用和账号；不使用生产业务数据。</x:v>
      </x:c>
      <x:c r="H263" s="3" t="str">
        <x:v>pending、denied、expired 授权流</x:v>
      </x:c>
      <x:c r="I263" s="3" t="str">
        <x:v>1. 开始授权
2. 分别返回三种状态
3. 查看恢复入口</x:v>
      </x:c>
      <x:c r="J263" s="3" t="str">
        <x:v>1. pending 可继续轮询
2. 拒绝/过期不创建有效 authorization
3. 用户能重新开始</x:v>
      </x:c>
      <x:c r="K263" s="3" t="str">
        <x:v>S01;S15;S16;S28</x:v>
      </x:c>
      <x:c r="L263" s="3" t="str">
        <x:v>实现路径存在，待执行验收</x:v>
      </x:c>
      <x:c r="M263" s="12" t="str">
        <x:v>未执行</x:v>
      </x:c>
      <x:c r="N263" s="12" t="str"/>
      <x:c r="O263" s="12" t="str"/>
      <x:c r="P263" s="12" t="str"/>
    </x:row>
    <x:row r="264" ht="57" customHeight="1">
      <x:c r="A264" s="3" t="str">
        <x:v>CLI-016</x:v>
      </x:c>
      <x:c r="B264" s="3" t="str">
        <x:v>CLI Connector 与飞书授权</x:v>
      </x:c>
      <x:c r="C264" s="3" t="str">
        <x:v>授权凭据加密只写</x:v>
      </x:c>
      <x:c r="D264" s="3" t="str">
        <x:v>P0</x:v>
      </x:c>
      <x:c r="E264" s="3" t="str">
        <x:v>安全</x:v>
      </x:c>
      <x:c r="F264" s="3" t="str">
        <x:v>Web + API + Builder/Wrapper；外部授权需 E3</x:v>
      </x:c>
      <x:c r="G264" s="3" t="str">
        <x:v>管理员配置测试 Definition；A/B 使用专用飞书测试应用和账号；不使用生产业务数据。</x:v>
      </x:c>
      <x:c r="H264" s="3" t="str">
        <x:v>测试 App Secret、access_token、refresh_token</x:v>
      </x:c>
      <x:c r="I264" s="3" t="str">
        <x:v>1. 完成授权
2. 检查产品 API、快照、日志、临时环境</x:v>
      </x:c>
      <x:c r="J264" s="3" t="str">
        <x:v>1. 凭据加密保存
2. 普通响应和快照无明文
3. 只为当前命令临时注入</x:v>
      </x:c>
      <x:c r="K264" s="3" t="str">
        <x:v>S01;S15;S16;S28</x:v>
      </x:c>
      <x:c r="L264" s="3" t="str">
        <x:v>实现路径存在，待执行验收</x:v>
      </x:c>
      <x:c r="M264" s="12" t="str">
        <x:v>未执行</x:v>
      </x:c>
      <x:c r="N264" s="12" t="str"/>
      <x:c r="O264" s="12" t="str"/>
      <x:c r="P264" s="12" t="str"/>
    </x:row>
    <x:row r="265" ht="57" customHeight="1">
      <x:c r="A265" s="3" t="str">
        <x:v>CLI-017</x:v>
      </x:c>
      <x:c r="B265" s="3" t="str">
        <x:v>CLI Connector 与飞书授权</x:v>
      </x:c>
      <x:c r="C265" s="3" t="str">
        <x:v>断开授权立即阻止</x:v>
      </x:c>
      <x:c r="D265" s="3" t="str">
        <x:v>P0</x:v>
      </x:c>
      <x:c r="E265" s="3" t="str">
        <x:v>权限</x:v>
      </x:c>
      <x:c r="F265" s="3" t="str">
        <x:v>Web + API + Builder/Wrapper；外部授权需 E3</x:v>
      </x:c>
      <x:c r="G265" s="3" t="str">
        <x:v>管理员配置测试 Definition；A/B 使用专用飞书测试应用和账号；不使用生产业务数据。</x:v>
      </x:c>
      <x:c r="H265" s="3" t="str">
        <x:v>A 某授权已被保留快照引用</x:v>
      </x:c>
      <x:c r="I265" s="3" t="str">
        <x:v>1. 断开授权
2. 从旧会话/暖容器发起命令
3. 查看历史</x:v>
      </x:c>
      <x:c r="J265" s="3" t="str">
        <x:v>1. 下一命令立即拒绝
2. 旧快照不能绕过撤销
3. 历史结果保持</x:v>
      </x:c>
      <x:c r="K265" s="3" t="str">
        <x:v>S01;S15;S16;S28</x:v>
      </x:c>
      <x:c r="L265" s="3" t="str">
        <x:v>实现路径存在，待执行验收</x:v>
      </x:c>
      <x:c r="M265" s="12" t="str">
        <x:v>未执行</x:v>
      </x:c>
      <x:c r="N265" s="12" t="str"/>
      <x:c r="O265" s="12" t="str"/>
      <x:c r="P265" s="12" t="str"/>
    </x:row>
    <x:row r="266" ht="42" customHeight="1">
      <x:c r="A266" s="3" t="str">
        <x:v>CLI-018</x:v>
      </x:c>
      <x:c r="B266" s="3" t="str">
        <x:v>CLI Connector 与飞书授权</x:v>
      </x:c>
      <x:c r="C266" s="3" t="str">
        <x:v>停用 Definition 阻止未来命令</x:v>
      </x:c>
      <x:c r="D266" s="3" t="str">
        <x:v>P0</x:v>
      </x:c>
      <x:c r="E266" s="3" t="str">
        <x:v>权限</x:v>
      </x:c>
      <x:c r="F266" s="3" t="str">
        <x:v>Web + API + Builder/Wrapper；外部授权需 E3</x:v>
      </x:c>
      <x:c r="G266" s="3" t="str">
        <x:v>管理员配置测试 Definition；A/B 使用专用飞书测试应用和账号；不使用生产业务数据。</x:v>
      </x:c>
      <x:c r="H266" s="3" t="str">
        <x:v>当前 available Connector 有已排队命令</x:v>
      </x:c>
      <x:c r="I266" s="3" t="str">
        <x:v>1. 管理员停用
2. 再触发或继续旧执行</x:v>
      </x:c>
      <x:c r="J266" s="3" t="str">
        <x:v>1. 执行前重检并拒绝
2. 不可因为 bundle 已下载而继续使用</x:v>
      </x:c>
      <x:c r="K266" s="3" t="str">
        <x:v>S01;S15;S16;S28</x:v>
      </x:c>
      <x:c r="L266" s="3" t="str">
        <x:v>实现路径存在，待执行验收</x:v>
      </x:c>
      <x:c r="M266" s="12" t="str">
        <x:v>未执行</x:v>
      </x:c>
      <x:c r="N266" s="12" t="str"/>
      <x:c r="O266" s="12" t="str"/>
      <x:c r="P266" s="12" t="str"/>
    </x:row>
    <x:row r="267" ht="57" customHeight="1">
      <x:c r="A267" s="3" t="str">
        <x:v>CLI-019</x:v>
      </x:c>
      <x:c r="B267" s="3" t="str">
        <x:v>CLI Connector 与飞书授权</x:v>
      </x:c>
      <x:c r="C267" s="3" t="str">
        <x:v>推荐 Skill 必须明确安装</x:v>
      </x:c>
      <x:c r="D267" s="3" t="str">
        <x:v>P1</x:v>
      </x:c>
      <x:c r="E267" s="3" t="str">
        <x:v>正向</x:v>
      </x:c>
      <x:c r="F267" s="3" t="str">
        <x:v>Web + API + Builder/Wrapper；外部授权需 E3</x:v>
      </x:c>
      <x:c r="G267" s="3" t="str">
        <x:v>管理员配置测试 Definition；A/B 使用专用飞书测试应用和账号；不使用生产业务数据。</x:v>
      </x:c>
      <x:c r="H267" s="3" t="str">
        <x:v>Definition 有推荐 Skill Offer</x:v>
      </x:c>
      <x:c r="I267" s="3" t="str">
        <x:v>1. 启用 Connector
2. 检查 Skills
3. 点击推荐安装</x:v>
      </x:c>
      <x:c r="J267" s="3" t="str">
        <x:v>1. 启用不自动安装或注入
2. 明确安装后成为用户普通 Skill</x:v>
      </x:c>
      <x:c r="K267" s="3" t="str">
        <x:v>S01;S15;S16;S28</x:v>
      </x:c>
      <x:c r="L267" s="3" t="str">
        <x:v>实现路径存在，待执行验收</x:v>
      </x:c>
      <x:c r="M267" s="12" t="str">
        <x:v>未执行</x:v>
      </x:c>
      <x:c r="N267" s="12" t="str"/>
      <x:c r="O267" s="12" t="str"/>
      <x:c r="P267" s="12" t="str"/>
    </x:row>
    <x:row r="268" ht="57" customHeight="1">
      <x:c r="A268" s="3" t="str">
        <x:v>CLI-020</x:v>
      </x:c>
      <x:c r="B268" s="3" t="str">
        <x:v>CLI Connector 与飞书授权</x:v>
      </x:c>
      <x:c r="C268" s="3" t="str">
        <x:v>Wrapper 参数与能力白名单</x:v>
      </x:c>
      <x:c r="D268" s="3" t="str">
        <x:v>P0</x:v>
      </x:c>
      <x:c r="E268" s="3" t="str">
        <x:v>安全</x:v>
      </x:c>
      <x:c r="F268" s="3" t="str">
        <x:v>Web + API + Builder/Wrapper；外部授权需 E3</x:v>
      </x:c>
      <x:c r="G268" s="3" t="str">
        <x:v>管理员配置测试 Definition；A/B 使用专用飞书测试应用和账号；不使用生产业务数据。</x:v>
      </x:c>
      <x:c r="H268" s="3" t="str">
        <x:v>未审核子命令、越界参数、可变 Shell 片段</x:v>
      </x:c>
      <x:c r="I268" s="3" t="str">
        <x:v>1. 向 Wrapper 提交每种命令
2. 记录实际进程启动</x:v>
      </x:c>
      <x:c r="J268" s="3" t="str">
        <x:v>1. 仅允许冻结可执行契约和审核 argv
2. 不得拼接 Shell
3. 非法请求不启动</x:v>
      </x:c>
      <x:c r="K268" s="3" t="str">
        <x:v>S01;S15;S16;S28</x:v>
      </x:c>
      <x:c r="L268" s="3" t="str">
        <x:v>实现路径存在，待执行验收</x:v>
      </x:c>
      <x:c r="M268" s="12" t="str">
        <x:v>未执行</x:v>
      </x:c>
      <x:c r="N268" s="12" t="str"/>
      <x:c r="O268" s="12" t="str"/>
      <x:c r="P268" s="12" t="str"/>
    </x:row>
    <x:row r="269" ht="57" customHeight="1">
      <x:c r="A269" s="3" t="str">
        <x:v>CLI-021</x:v>
      </x:c>
      <x:c r="B269" s="3" t="str">
        <x:v>CLI Connector 与飞书授权</x:v>
      </x:c>
      <x:c r="C269" s="3" t="str">
        <x:v>User 与 Bot 身份选择</x:v>
      </x:c>
      <x:c r="D269" s="3" t="str">
        <x:v>P0</x:v>
      </x:c>
      <x:c r="E269" s="3" t="str">
        <x:v>权限</x:v>
      </x:c>
      <x:c r="F269" s="3" t="str">
        <x:v>Web + API + Builder/Wrapper；外部授权需 E3</x:v>
      </x:c>
      <x:c r="G269" s="3" t="str">
        <x:v>管理员配置测试 Definition；A/B 使用专用飞书测试应用和账号；不使用生产业务数据。</x:v>
      </x:c>
      <x:c r="H269" s="3" t="str">
        <x:v>命令支持两个身份或仅支持一个身份</x:v>
      </x:c>
      <x:c r="I269" s="3" t="str">
        <x:v>1. 请求命令
2. 选择身份
3. 检查后续授权与批准显示</x:v>
      </x:c>
      <x:c r="J269" s="3" t="str">
        <x:v>1. 双身份明确选择
2. 单身份锁定已有身份
3. 不自动升级为更高权限身份</x:v>
      </x:c>
      <x:c r="K269" s="3" t="str">
        <x:v>S01;S15;S16;S28</x:v>
      </x:c>
      <x:c r="L269" s="3" t="str">
        <x:v>实现路径存在，待执行验收</x:v>
      </x:c>
      <x:c r="M269" s="12" t="str">
        <x:v>未执行</x:v>
      </x:c>
      <x:c r="N269" s="12" t="str"/>
      <x:c r="O269" s="12" t="str"/>
      <x:c r="P269" s="12" t="str"/>
    </x:row>
    <x:row r="270" ht="42" customHeight="1">
      <x:c r="A270" s="3" t="str">
        <x:v>CLI-022</x:v>
      </x:c>
      <x:c r="B270" s="3" t="str">
        <x:v>CLI Connector 与飞书授权</x:v>
      </x:c>
      <x:c r="C270" s="3" t="str">
        <x:v>最小 Scope 与缺少权限</x:v>
      </x:c>
      <x:c r="D270" s="3" t="str">
        <x:v>P0</x:v>
      </x:c>
      <x:c r="E270" s="3" t="str">
        <x:v>权限</x:v>
      </x:c>
      <x:c r="F270" s="3" t="str">
        <x:v>Web + API + Builder/Wrapper；外部授权需 E3</x:v>
      </x:c>
      <x:c r="G270" s="3" t="str">
        <x:v>管理员配置测试 Definition；A/B 使用专用飞书测试应用和账号；不使用生产业务数据。</x:v>
      </x:c>
      <x:c r="H270" s="3" t="str">
        <x:v>基础诊断 scope 已授权，业务 scope 缺失</x:v>
      </x:c>
      <x:c r="I270" s="3" t="str">
        <x:v>1. 启用后查看 scopes
2. 发起需业务 scope 的能力</x:v>
      </x:c>
      <x:c r="J270" s="3" t="str">
        <x:v>1. 不在启用时请求全部业务权限
2. 缺权限时阻止命令并给恢复入口</x:v>
      </x:c>
      <x:c r="K270" s="3" t="str">
        <x:v>S01;S15;S16;S28</x:v>
      </x:c>
      <x:c r="L270" s="3" t="str">
        <x:v>实现路径存在，待执行验收</x:v>
      </x:c>
      <x:c r="M270" s="12" t="str">
        <x:v>未执行</x:v>
      </x:c>
      <x:c r="N270" s="12" t="str"/>
      <x:c r="O270" s="12" t="str"/>
      <x:c r="P270" s="12" t="str"/>
    </x:row>
    <x:row r="271" ht="57" customHeight="1">
      <x:c r="A271" s="3" t="str">
        <x:v>CLI-023</x:v>
      </x:c>
      <x:c r="B271" s="3" t="str">
        <x:v>CLI Connector 与飞书授权</x:v>
      </x:c>
      <x:c r="C271" s="3" t="str">
        <x:v>Token 使用前自动刷新</x:v>
      </x:c>
      <x:c r="D271" s="3" t="str">
        <x:v>P0</x:v>
      </x:c>
      <x:c r="E271" s="3" t="str">
        <x:v>恢复</x:v>
      </x:c>
      <x:c r="F271" s="3" t="str">
        <x:v>Web + API + Builder/Wrapper；外部授权需 E3</x:v>
      </x:c>
      <x:c r="G271" s="3" t="str">
        <x:v>管理员配置测试 Definition；A/B 使用专用飞书测试应用和账号；不使用生产业务数据。</x:v>
      </x:c>
      <x:c r="H271" s="3" t="str">
        <x:v>有效 refresh_token；access_token 即将过期</x:v>
      </x:c>
      <x:c r="I271" s="3" t="str">
        <x:v>1. 调用需授权命令
2. 模拟刷新成功/失败
3. 检查 Token 和状态</x:v>
      </x:c>
      <x:c r="J271" s="3" t="str">
        <x:v>1. 目标：成功刷新后执行
2. 失败使授权失效且要求重新授权</x:v>
      </x:c>
      <x:c r="K271" s="3" t="str">
        <x:v>S01;S15;S16;S28</x:v>
      </x:c>
      <x:c r="L271" s="3" t="str">
        <x:v>已知未完成：Token 刷新；用于后续验收</x:v>
      </x:c>
      <x:c r="M271" s="12" t="str">
        <x:v>未执行</x:v>
      </x:c>
      <x:c r="N271" s="12" t="str"/>
      <x:c r="O271" s="12" t="str"/>
      <x:c r="P271" s="12" t="str"/>
    </x:row>
    <x:row r="272" ht="57" customHeight="1">
      <x:c r="A272" s="3" t="str">
        <x:v>CLI-024</x:v>
      </x:c>
      <x:c r="B272" s="3" t="str">
        <x:v>CLI Connector 与飞书授权</x:v>
      </x:c>
      <x:c r="C272" s="3" t="str">
        <x:v>Bot 权限或发布条件恢复</x:v>
      </x:c>
      <x:c r="D272" s="3" t="str">
        <x:v>P1</x:v>
      </x:c>
      <x:c r="E272" s="3" t="str">
        <x:v>恢复</x:v>
      </x:c>
      <x:c r="F272" s="3" t="str">
        <x:v>Web + API + Builder/Wrapper；外部授权需 E3</x:v>
      </x:c>
      <x:c r="G272" s="3" t="str">
        <x:v>管理员配置测试 Definition；A/B 使用专用飞书测试应用和账号；不使用生产业务数据。</x:v>
      </x:c>
      <x:c r="H272" s="3" t="str">
        <x:v>Bot scope 缺失或应用尚未发布</x:v>
      </x:c>
      <x:c r="I272" s="3" t="str">
        <x:v>1. 发起 Bot 能力
2. 查看恢复链接
3. 完成条件后重试</x:v>
      </x:c>
      <x:c r="J272" s="3" t="str">
        <x:v>1. 目标：直接解释 Bot 权限/发布前置并提供恢复链接
2. 满足后才执行</x:v>
      </x:c>
      <x:c r="K272" s="3" t="str">
        <x:v>S01;S15;S16;S28</x:v>
      </x:c>
      <x:c r="L272" s="3" t="str">
        <x:v>已知未完成：Bot 权限恢复；用于后续验收</x:v>
      </x:c>
      <x:c r="M272" s="12" t="str">
        <x:v>未执行</x:v>
      </x:c>
      <x:c r="N272" s="12" t="str"/>
      <x:c r="O272" s="12" t="str"/>
      <x:c r="P272" s="12" t="str"/>
    </x:row>
    <x:row r="273" ht="57" customHeight="1">
      <x:c r="A273" s="3" t="str">
        <x:v>APR-001</x:v>
      </x:c>
      <x:c r="B273" s="3" t="str">
        <x:v>命令审批与用户等待</x:v>
      </x:c>
      <x:c r="C273" s="3" t="str">
        <x:v>高风险命令先审批后执行</x:v>
      </x:c>
      <x:c r="D273" s="3" t="str">
        <x:v>P0</x:v>
      </x:c>
      <x:c r="E273" s="3" t="str">
        <x:v>权限</x:v>
      </x:c>
      <x:c r="F273" s="3" t="str">
        <x:v>Web + API + DB + Wrapper；恢复门禁用 E2</x:v>
      </x:c>
      <x:c r="G273" s="3" t="str">
        <x:v>普通用户 A 拥有高风险测试命令；Admin/B/Workflow Token 用于权限反例；使用可控时钟。</x:v>
      </x:c>
      <x:c r="H273" s="3" t="str">
        <x:v>高风险 capability；argv 含测试敏感参数</x:v>
      </x:c>
      <x:c r="I273" s="3" t="str">
        <x:v>1. 启动命令
2. 查看审批卡片
3. 批准前检查进程计数</x:v>
      </x:c>
      <x:c r="J273" s="3" t="str">
        <x:v>1. 进入 waiting_for_user
2. 显示 Connector、身份、操作、目标及脱敏参数
3. 批准前受保护动作未执行</x:v>
      </x:c>
      <x:c r="K273" s="3" t="str">
        <x:v>S01;S15;S16</x:v>
      </x:c>
      <x:c r="L273" s="3" t="str">
        <x:v>实现路径存在，待执行验收</x:v>
      </x:c>
      <x:c r="M273" s="12" t="str">
        <x:v>未执行</x:v>
      </x:c>
      <x:c r="N273" s="12" t="str">
        <x:v>部分步骤证据：E2E-024 通过；E2E-033 阻塞。完整结果见“E2E执行”。未执行全部原用例步骤，不据此标记整条通过。</x:v>
      </x:c>
      <x:c r="O273" s="12" t="str"/>
      <x:c r="P273" s="12" t="str">
        <x:v>Codex / 2026-09-06 17:21 Asia/Shanghai</x:v>
      </x:c>
    </x:row>
    <x:row r="274" ht="57" customHeight="1">
      <x:c r="A274" s="3" t="str">
        <x:v>APR-002</x:v>
      </x:c>
      <x:c r="B274" s="3" t="str">
        <x:v>命令审批与用户等待</x:v>
      </x:c>
      <x:c r="C274" s="3" t="str">
        <x:v>批准执行一次</x:v>
      </x:c>
      <x:c r="D274" s="3" t="str">
        <x:v>P0</x:v>
      </x:c>
      <x:c r="E274" s="3" t="str">
        <x:v>幂等</x:v>
      </x:c>
      <x:c r="F274" s="3" t="str">
        <x:v>Web + API + DB + Wrapper；恢复门禁用 E2</x:v>
      </x:c>
      <x:c r="G274" s="3" t="str">
        <x:v>普通用户 A 拥有高风险测试命令；Admin/B/Workflow Token 用于权限反例；使用可控时钟。</x:v>
      </x:c>
      <x:c r="H274" s="3" t="str">
        <x:v>A 的有效待审批 nonce 与 command digest</x:v>
      </x:c>
      <x:c r="I274" s="3" t="str">
        <x:v>1. A 批准
2. 重放相同批准请求
3. 检查外部调用计数</x:v>
      </x:c>
      <x:c r="J274" s="3" t="str">
        <x:v>1. 批准仅消费一次
2. 相同命令至多启动一次
3. 重放不会重复写外部系统</x:v>
      </x:c>
      <x:c r="K274" s="3" t="str">
        <x:v>S01;S15;S16</x:v>
      </x:c>
      <x:c r="L274" s="3" t="str">
        <x:v>实现路径存在，待执行验收</x:v>
      </x:c>
      <x:c r="M274" s="12" t="str">
        <x:v>未执行</x:v>
      </x:c>
      <x:c r="N274" s="12" t="str"/>
      <x:c r="O274" s="12" t="str"/>
      <x:c r="P274" s="12" t="str"/>
    </x:row>
    <x:row r="275" ht="42" customHeight="1">
      <x:c r="A275" s="3" t="str">
        <x:v>APR-003</x:v>
      </x:c>
      <x:c r="B275" s="3" t="str">
        <x:v>命令审批与用户等待</x:v>
      </x:c>
      <x:c r="C275" s="3" t="str">
        <x:v>不可修改审批绑定命令</x:v>
      </x:c>
      <x:c r="D275" s="3" t="str">
        <x:v>P0</x:v>
      </x:c>
      <x:c r="E275" s="3" t="str">
        <x:v>安全</x:v>
      </x:c>
      <x:c r="F275" s="3" t="str">
        <x:v>Web + API + DB + Wrapper；恢复门禁用 E2</x:v>
      </x:c>
      <x:c r="G275" s="3" t="str">
        <x:v>普通用户 A 拥有高风险测试命令；Admin/B/Workflow Token 用于权限反例；使用可控时钟。</x:v>
      </x:c>
      <x:c r="H275" s="3" t="str">
        <x:v>已展示命令 target=A</x:v>
      </x:c>
      <x:c r="I275" s="3" t="str">
        <x:v>1. 批准时伪造 target=B、argv 或 digest
2. 尝试执行</x:v>
      </x:c>
      <x:c r="J275" s="3" t="str">
        <x:v>1. 不匹配原命令的决定被拒绝
2. 不能批准后替换实际命令</x:v>
      </x:c>
      <x:c r="K275" s="3" t="str">
        <x:v>S01;S15;S16</x:v>
      </x:c>
      <x:c r="L275" s="3" t="str">
        <x:v>实现路径存在，待执行验收</x:v>
      </x:c>
      <x:c r="M275" s="12" t="str">
        <x:v>未执行</x:v>
      </x:c>
      <x:c r="N275" s="12" t="str"/>
      <x:c r="O275" s="12" t="str"/>
      <x:c r="P275" s="12" t="str"/>
    </x:row>
    <x:row r="276" ht="42" customHeight="1">
      <x:c r="A276" s="3" t="str">
        <x:v>APR-004</x:v>
      </x:c>
      <x:c r="B276" s="3" t="str">
        <x:v>命令审批与用户等待</x:v>
      </x:c>
      <x:c r="C276" s="3" t="str">
        <x:v>其他用户不能批准</x:v>
      </x:c>
      <x:c r="D276" s="3" t="str">
        <x:v>P0</x:v>
      </x:c>
      <x:c r="E276" s="3" t="str">
        <x:v>权限</x:v>
      </x:c>
      <x:c r="F276" s="3" t="str">
        <x:v>Web + API + DB + Wrapper；恢复门禁用 E2</x:v>
      </x:c>
      <x:c r="G276" s="3" t="str">
        <x:v>普通用户 A 拥有高风险测试命令；Admin/B/Workflow Token 用于权限反例；使用可控时钟。</x:v>
      </x:c>
      <x:c r="H276" s="3" t="str">
        <x:v>A 待审批，B 已登录</x:v>
      </x:c>
      <x:c r="I276" s="3" t="str">
        <x:v>1. B 列表查询和决定 A approval_id</x:v>
      </x:c>
      <x:c r="J276" s="3" t="str">
        <x:v>1. B 看不到 A 的请求且不能决定
2. 无受保护命令执行</x:v>
      </x:c>
      <x:c r="K276" s="3" t="str">
        <x:v>S01;S15;S16</x:v>
      </x:c>
      <x:c r="L276" s="3" t="str">
        <x:v>实现路径存在，待执行验收</x:v>
      </x:c>
      <x:c r="M276" s="12" t="str">
        <x:v>未执行</x:v>
      </x:c>
      <x:c r="N276" s="12" t="str"/>
      <x:c r="O276" s="12" t="str"/>
      <x:c r="P276" s="12" t="str"/>
    </x:row>
    <x:row r="277" ht="42" customHeight="1">
      <x:c r="A277" s="3" t="str">
        <x:v>APR-005</x:v>
      </x:c>
      <x:c r="B277" s="3" t="str">
        <x:v>命令审批与用户等待</x:v>
      </x:c>
      <x:c r="C277" s="3" t="str">
        <x:v>管理员不能代批</x:v>
      </x:c>
      <x:c r="D277" s="3" t="str">
        <x:v>P0</x:v>
      </x:c>
      <x:c r="E277" s="3" t="str">
        <x:v>权限</x:v>
      </x:c>
      <x:c r="F277" s="3" t="str">
        <x:v>Web + API + DB + Wrapper；恢复门禁用 E2</x:v>
      </x:c>
      <x:c r="G277" s="3" t="str">
        <x:v>普通用户 A 拥有高风险测试命令；Admin/B/Workflow Token 用于权限反例；使用可控时钟。</x:v>
      </x:c>
      <x:c r="H277" s="3" t="str">
        <x:v>Admin 试图决定 A 审批</x:v>
      </x:c>
      <x:c r="I277" s="3" t="str">
        <x:v>1. 用管理员登录调用决定接口
2. 检查命令状态</x:v>
      </x:c>
      <x:c r="J277" s="3" t="str">
        <x:v>1. 管理员身份不能替拥有者授权
2. 请求 403/安全拒绝</x:v>
      </x:c>
      <x:c r="K277" s="3" t="str">
        <x:v>S01;S15;S16</x:v>
      </x:c>
      <x:c r="L277" s="3" t="str">
        <x:v>实现路径存在，待执行验收</x:v>
      </x:c>
      <x:c r="M277" s="12" t="str">
        <x:v>未执行</x:v>
      </x:c>
      <x:c r="N277" s="12" t="str"/>
      <x:c r="O277" s="12" t="str"/>
      <x:c r="P277" s="12" t="str"/>
    </x:row>
    <x:row r="278" ht="42" customHeight="1">
      <x:c r="A278" s="3" t="str">
        <x:v>APR-006</x:v>
      </x:c>
      <x:c r="B278" s="3" t="str">
        <x:v>命令审批与用户等待</x:v>
      </x:c>
      <x:c r="C278" s="3" t="str">
        <x:v>Workflow Token 不可批准</x:v>
      </x:c>
      <x:c r="D278" s="3" t="str">
        <x:v>P0</x:v>
      </x:c>
      <x:c r="E278" s="3" t="str">
        <x:v>权限</x:v>
      </x:c>
      <x:c r="F278" s="3" t="str">
        <x:v>Web + API + DB + Wrapper；恢复门禁用 E2</x:v>
      </x:c>
      <x:c r="G278" s="3" t="str">
        <x:v>普通用户 A 拥有高风险测试命令；Admin/B/Workflow Token 用于权限反例；使用可控时钟。</x:v>
      </x:c>
      <x:c r="H278" s="3" t="str">
        <x:v>W1 API Token 与 A 的 approval_id</x:v>
      </x:c>
      <x:c r="I278" s="3" t="str">
        <x:v>1. 用 Workflow Token 提交决定</x:v>
      </x:c>
      <x:c r="J278" s="3" t="str">
        <x:v>1. 只能在认证产品中由拥有者决定
2. Workflow Token 拒绝</x:v>
      </x:c>
      <x:c r="K278" s="3" t="str">
        <x:v>S01;S15;S16</x:v>
      </x:c>
      <x:c r="L278" s="3" t="str">
        <x:v>实现路径存在，待执行验收</x:v>
      </x:c>
      <x:c r="M278" s="12" t="str">
        <x:v>未执行</x:v>
      </x:c>
      <x:c r="N278" s="12" t="str"/>
      <x:c r="O278" s="12" t="str"/>
      <x:c r="P278" s="12" t="str"/>
    </x:row>
    <x:row r="279" ht="57" customHeight="1">
      <x:c r="A279" s="3" t="str">
        <x:v>APR-007</x:v>
      </x:c>
      <x:c r="B279" s="3" t="str">
        <x:v>命令审批与用户等待</x:v>
      </x:c>
      <x:c r="C279" s="3" t="str">
        <x:v>拒绝返回结构化错误</x:v>
      </x:c>
      <x:c r="D279" s="3" t="str">
        <x:v>P0</x:v>
      </x:c>
      <x:c r="E279" s="3" t="str">
        <x:v>状态</x:v>
      </x:c>
      <x:c r="F279" s="3" t="str">
        <x:v>Web + API + DB + Wrapper；恢复门禁用 E2</x:v>
      </x:c>
      <x:c r="G279" s="3" t="str">
        <x:v>普通用户 A 拥有高风险测试命令；Admin/B/Workflow Token 用于权限反例；使用可控时钟。</x:v>
      </x:c>
      <x:c r="H279" s="3" t="str">
        <x:v>Runtime 可处理工具错误</x:v>
      </x:c>
      <x:c r="I279" s="3" t="str">
        <x:v>1. A 拒绝高风险命令
2. 查看 Runtime 收到的错误
3. 观察后续文本</x:v>
      </x:c>
      <x:c r="J279" s="3" t="str">
        <x:v>1. 受保护动作不执行
2. 返回结构化 CLI 错误
3. 不强制把整个模型执行立即判失败</x:v>
      </x:c>
      <x:c r="K279" s="3" t="str">
        <x:v>S01;S15;S16</x:v>
      </x:c>
      <x:c r="L279" s="3" t="str">
        <x:v>实现路径存在，待执行验收</x:v>
      </x:c>
      <x:c r="M279" s="12" t="str">
        <x:v>未执行</x:v>
      </x:c>
      <x:c r="N279" s="12" t="str"/>
      <x:c r="O279" s="12" t="str"/>
      <x:c r="P279" s="12" t="str"/>
    </x:row>
    <x:row r="280" ht="57" customHeight="1">
      <x:c r="A280" s="3" t="str">
        <x:v>APR-008</x:v>
      </x:c>
      <x:c r="B280" s="3" t="str">
        <x:v>命令审批与用户等待</x:v>
      </x:c>
      <x:c r="C280" s="3" t="str">
        <x:v>审批到期不执行</x:v>
      </x:c>
      <x:c r="D280" s="3" t="str">
        <x:v>P0</x:v>
      </x:c>
      <x:c r="E280" s="3" t="str">
        <x:v>边界</x:v>
      </x:c>
      <x:c r="F280" s="3" t="str">
        <x:v>Web + API + DB + Wrapper；恢复门禁用 E2</x:v>
      </x:c>
      <x:c r="G280" s="3" t="str">
        <x:v>普通用户 A 拥有高风险测试命令；Admin/B/Workflow Token 用于权限反例；使用可控时钟。</x:v>
      </x:c>
      <x:c r="H280" s="3" t="str">
        <x:v>默认五分钟审批</x:v>
      </x:c>
      <x:c r="I280" s="3" t="str">
        <x:v>1. 推进到截止前后
2. 截止后尝试批准
3. 查看命令计数</x:v>
      </x:c>
      <x:c r="J280" s="3" t="str">
        <x:v>1. 到期后拒绝执行
2. 迟到批准无效
3. Runtime 收到结构化错误</x:v>
      </x:c>
      <x:c r="K280" s="3" t="str">
        <x:v>S01;S15;S16</x:v>
      </x:c>
      <x:c r="L280" s="3" t="str">
        <x:v>实现路径存在，待执行验收</x:v>
      </x:c>
      <x:c r="M280" s="12" t="str">
        <x:v>未执行</x:v>
      </x:c>
      <x:c r="N280" s="12" t="str"/>
      <x:c r="O280" s="12" t="str"/>
      <x:c r="P280" s="12" t="str"/>
    </x:row>
    <x:row r="281" ht="57" customHeight="1">
      <x:c r="A281" s="3" t="str">
        <x:v>APR-009</x:v>
      </x:c>
      <x:c r="B281" s="3" t="str">
        <x:v>命令审批与用户等待</x:v>
      </x:c>
      <x:c r="C281" s="3" t="str">
        <x:v>审批超时硬上限</x:v>
      </x:c>
      <x:c r="D281" s="3" t="str">
        <x:v>P1</x:v>
      </x:c>
      <x:c r="E281" s="3" t="str">
        <x:v>边界</x:v>
      </x:c>
      <x:c r="F281" s="3" t="str">
        <x:v>Web + API + DB + Wrapper；恢复门禁用 E2</x:v>
      </x:c>
      <x:c r="G281" s="3" t="str">
        <x:v>普通用户 A 拥有高风险测试命令；Admin/B/Workflow Token 用于权限反例；使用可控时钟。</x:v>
      </x:c>
      <x:c r="H281" s="3" t="str">
        <x:v>配置小于五分钟和大于十五分钟</x:v>
      </x:c>
      <x:c r="I281" s="3" t="str">
        <x:v>1. 提交配置并创建审批
2. 查看实际 deadline</x:v>
      </x:c>
      <x:c r="J281" s="3" t="str">
        <x:v>1. 可按政策降低
2. 不可超过十五分钟硬上限
3. 不产生无限等待</x:v>
      </x:c>
      <x:c r="K281" s="3" t="str">
        <x:v>S01;S15;S16</x:v>
      </x:c>
      <x:c r="L281" s="3" t="str">
        <x:v>实现路径存在，待执行验收</x:v>
      </x:c>
      <x:c r="M281" s="12" t="str">
        <x:v>未执行</x:v>
      </x:c>
      <x:c r="N281" s="12" t="str"/>
      <x:c r="O281" s="12" t="str"/>
      <x:c r="P281" s="12" t="str"/>
    </x:row>
    <x:row r="282" ht="57" customHeight="1">
      <x:c r="A282" s="3" t="str">
        <x:v>APR-010</x:v>
      </x:c>
      <x:c r="B282" s="3" t="str">
        <x:v>命令审批与用户等待</x:v>
      </x:c>
      <x:c r="C282" s="3" t="str">
        <x:v>同 Stage 审批串行</x:v>
      </x:c>
      <x:c r="D282" s="3" t="str">
        <x:v>P0</x:v>
      </x:c>
      <x:c r="E282" s="3" t="str">
        <x:v>并发</x:v>
      </x:c>
      <x:c r="F282" s="3" t="str">
        <x:v>Web + API + DB + Wrapper；恢复门禁用 E2</x:v>
      </x:c>
      <x:c r="G282" s="3" t="str">
        <x:v>普通用户 A 拥有高风险测试命令；Admin/B/Workflow Token 用于权限反例；使用可控时钟。</x:v>
      </x:c>
      <x:c r="H282" s="3" t="str">
        <x:v>同 Stage 连续提出两个高风险操作</x:v>
      </x:c>
      <x:c r="I282" s="3" t="str">
        <x:v>1. 提交两请求
2. 决定第一请求
3. 查看第二请求</x:v>
      </x:c>
      <x:c r="J282" s="3" t="str">
        <x:v>1. 同时只有一个 active approval
2. 后续按序出现
3. 批准不能通用于另一命令</x:v>
      </x:c>
      <x:c r="K282" s="3" t="str">
        <x:v>S01;S15;S16</x:v>
      </x:c>
      <x:c r="L282" s="3" t="str">
        <x:v>实现路径存在，待执行验收</x:v>
      </x:c>
      <x:c r="M282" s="12" t="str">
        <x:v>未执行</x:v>
      </x:c>
      <x:c r="N282" s="12" t="str"/>
      <x:c r="O282" s="12" t="str"/>
      <x:c r="P282" s="12" t="str"/>
    </x:row>
    <x:row r="283" ht="57" customHeight="1">
      <x:c r="A283" s="3" t="str">
        <x:v>APR-011</x:v>
      </x:c>
      <x:c r="B283" s="3" t="str">
        <x:v>命令审批与用户等待</x:v>
      </x:c>
      <x:c r="C283" s="3" t="str">
        <x:v>等待中取消</x:v>
      </x:c>
      <x:c r="D283" s="3" t="str">
        <x:v>P0</x:v>
      </x:c>
      <x:c r="E283" s="3" t="str">
        <x:v>状态</x:v>
      </x:c>
      <x:c r="F283" s="3" t="str">
        <x:v>Web + API + DB + Wrapper；恢复门禁用 E2</x:v>
      </x:c>
      <x:c r="G283" s="3" t="str">
        <x:v>普通用户 A 拥有高风险测试命令；Admin/B/Workflow Token 用于权限反例；使用可控时钟。</x:v>
      </x:c>
      <x:c r="H283" s="3" t="str">
        <x:v>Session/Run 正 waiting_for_user</x:v>
      </x:c>
      <x:c r="I283" s="3" t="str">
        <x:v>1. 点击停止
2. 尝试批准旧请求
3. 查看容器和锁</x:v>
      </x:c>
      <x:c r="J283" s="3" t="str">
        <x:v>1. 执行取消
2. 旧请求不能启动命令
3. Runtime、临时资源和 lease 最终释放</x:v>
      </x:c>
      <x:c r="K283" s="3" t="str">
        <x:v>S01;S15;S16</x:v>
      </x:c>
      <x:c r="L283" s="3" t="str">
        <x:v>实现路径存在，待执行验收</x:v>
      </x:c>
      <x:c r="M283" s="12" t="str">
        <x:v>未执行</x:v>
      </x:c>
      <x:c r="N283" s="12" t="str"/>
      <x:c r="O283" s="12" t="str"/>
      <x:c r="P283" s="12" t="str"/>
    </x:row>
    <x:row r="284" ht="42" customHeight="1">
      <x:c r="A284" s="3" t="str">
        <x:v>APR-012</x:v>
      </x:c>
      <x:c r="B284" s="3" t="str">
        <x:v>命令审批与用户等待</x:v>
      </x:c>
      <x:c r="C284" s="3" t="str">
        <x:v>批准后执行前再次校验</x:v>
      </x:c>
      <x:c r="D284" s="3" t="str">
        <x:v>P0</x:v>
      </x:c>
      <x:c r="E284" s="3" t="str">
        <x:v>权限</x:v>
      </x:c>
      <x:c r="F284" s="3" t="str">
        <x:v>Web + API + DB + Wrapper；恢复门禁用 E2</x:v>
      </x:c>
      <x:c r="G284" s="3" t="str">
        <x:v>普通用户 A 拥有高风险测试命令；Admin/B/Workflow Token 用于权限反例；使用可控时钟。</x:v>
      </x:c>
      <x:c r="H284" s="3" t="str">
        <x:v>待审批期间撤销授权、停用定义或变更策略</x:v>
      </x:c>
      <x:c r="I284" s="3" t="str">
        <x:v>1. A 批准
2. Wrapper 即将启动前重校验</x:v>
      </x:c>
      <x:c r="J284" s="3" t="str">
        <x:v>1. 当前权限不满足则拒绝
2. 既有批准不绕过新限制</x:v>
      </x:c>
      <x:c r="K284" s="3" t="str">
        <x:v>S01;S15;S16</x:v>
      </x:c>
      <x:c r="L284" s="3" t="str">
        <x:v>实现路径存在，待执行验收</x:v>
      </x:c>
      <x:c r="M284" s="12" t="str">
        <x:v>未执行</x:v>
      </x:c>
      <x:c r="N284" s="12" t="str"/>
      <x:c r="O284" s="12" t="str"/>
      <x:c r="P284" s="12" t="str"/>
    </x:row>
    <x:row r="285" ht="42" customHeight="1">
      <x:c r="A285" s="3" t="str">
        <x:v>APR-013</x:v>
      </x:c>
      <x:c r="B285" s="3" t="str">
        <x:v>命令审批与用户等待</x:v>
      </x:c>
      <x:c r="C285" s="3" t="str">
        <x:v>等待保留资源与串行锁</x:v>
      </x:c>
      <x:c r="D285" s="3" t="str">
        <x:v>P0</x:v>
      </x:c>
      <x:c r="E285" s="3" t="str">
        <x:v>一致性</x:v>
      </x:c>
      <x:c r="F285" s="3" t="str">
        <x:v>Web + API + DB + Wrapper；恢复门禁用 E2</x:v>
      </x:c>
      <x:c r="G285" s="3" t="str">
        <x:v>普通用户 A 拥有高风险测试命令；Admin/B/Workflow Token 用于权限反例；使用可控时钟。</x:v>
      </x:c>
      <x:c r="H285" s="3" t="str">
        <x:v>W1 正等待审批，另有 W1 queued Run</x:v>
      </x:c>
      <x:c r="I285" s="3" t="str">
        <x:v>1. 等待期间观察容器、临时 Workspace、Workflow lock/Credit lease</x:v>
      </x:c>
      <x:c r="J285" s="3" t="str">
        <x:v>1. 资源保留供同执行恢复
2. 后续同 Workflow 不越过正在等待轮次</x:v>
      </x:c>
      <x:c r="K285" s="3" t="str">
        <x:v>S01;S15;S16</x:v>
      </x:c>
      <x:c r="L285" s="3" t="str">
        <x:v>实现路径存在，待执行验收</x:v>
      </x:c>
      <x:c r="M285" s="12" t="str">
        <x:v>未执行</x:v>
      </x:c>
      <x:c r="N285" s="12" t="str"/>
      <x:c r="O285" s="12" t="str"/>
      <x:c r="P285" s="12" t="str"/>
    </x:row>
    <x:row r="286" ht="57" customHeight="1">
      <x:c r="A286" s="3" t="str">
        <x:v>APR-014</x:v>
      </x:c>
      <x:c r="B286" s="3" t="str">
        <x:v>命令审批与用户等待</x:v>
      </x:c>
      <x:c r="C286" s="3" t="str">
        <x:v>等待时暂停普通执行超时</x:v>
      </x:c>
      <x:c r="D286" s="3" t="str">
        <x:v>P0</x:v>
      </x:c>
      <x:c r="E286" s="3" t="str">
        <x:v>边界</x:v>
      </x:c>
      <x:c r="F286" s="3" t="str">
        <x:v>Web + API + DB + Wrapper；恢复门禁用 E2</x:v>
      </x:c>
      <x:c r="G286" s="3" t="str">
        <x:v>普通用户 A 拥有高风险测试命令；Admin/B/Workflow Token 用于权限反例；使用可控时钟。</x:v>
      </x:c>
      <x:c r="H286" s="3" t="str">
        <x:v>普通 deadline 小于审批等待时间</x:v>
      </x:c>
      <x:c r="I286" s="3" t="str">
        <x:v>1. 等待超过普通 deadline 但未超过审批 deadline
2. 批准</x:v>
      </x:c>
      <x:c r="J286" s="3" t="str">
        <x:v>1. 目标：仅审批 deadline 计时
2. 批准后恢复普通执行预算
3. 不因等待误超时</x:v>
      </x:c>
      <x:c r="K286" s="3" t="str">
        <x:v>S01;S15;S16</x:v>
      </x:c>
      <x:c r="L286" s="3" t="str">
        <x:v>已知未完成：普通 deadline 暂停；用于后续验收</x:v>
      </x:c>
      <x:c r="M286" s="12" t="str">
        <x:v>未执行</x:v>
      </x:c>
      <x:c r="N286" s="12" t="str"/>
      <x:c r="O286" s="12" t="str"/>
      <x:c r="P286" s="12" t="str"/>
    </x:row>
    <x:row r="287" ht="57" customHeight="1">
      <x:c r="A287" s="3" t="str">
        <x:v>APR-015</x:v>
      </x:c>
      <x:c r="B287" s="3" t="str">
        <x:v>命令审批与用户等待</x:v>
      </x:c>
      <x:c r="C287" s="3" t="str">
        <x:v>API 与定时 Run 等待审批</x:v>
      </x:c>
      <x:c r="D287" s="3" t="str">
        <x:v>P0</x:v>
      </x:c>
      <x:c r="E287" s="3" t="str">
        <x:v>状态</x:v>
      </x:c>
      <x:c r="F287" s="3" t="str">
        <x:v>Web + API + DB + Wrapper；恢复门禁用 E2</x:v>
      </x:c>
      <x:c r="G287" s="3" t="str">
        <x:v>普通用户 A 拥有高风险测试命令；Admin/B/Workflow Token 用于权限反例；使用可控时钟。</x:v>
      </x:c>
      <x:c r="H287" s="3" t="str">
        <x:v>由 API 和 Schedule 分别触发高风险命令</x:v>
      </x:c>
      <x:c r="I287" s="3" t="str">
        <x:v>1. 查看 Run 状态
2. A 从产品审批
3. 再测试无人处理到期</x:v>
      </x:c>
      <x:c r="J287" s="3" t="str">
        <x:v>1. 能进入 waiting_for_user
2. 只能产品拥有者处理
3. 无人响应按 deadline 到期</x:v>
      </x:c>
      <x:c r="K287" s="3" t="str">
        <x:v>S01;S15;S16</x:v>
      </x:c>
      <x:c r="L287" s="3" t="str">
        <x:v>实现路径存在，待执行验收</x:v>
      </x:c>
      <x:c r="M287" s="12" t="str">
        <x:v>未执行</x:v>
      </x:c>
      <x:c r="N287" s="12" t="str"/>
      <x:c r="O287" s="12" t="str"/>
      <x:c r="P287" s="12" t="str"/>
    </x:row>
    <x:row r="288" ht="57" customHeight="1">
      <x:c r="A288" s="3" t="str">
        <x:v>APR-016</x:v>
      </x:c>
      <x:c r="B288" s="3" t="str">
        <x:v>命令审批与用户等待</x:v>
      </x:c>
      <x:c r="C288" s="3" t="str">
        <x:v>等待拒绝仍按实际 Usage 收费</x:v>
      </x:c>
      <x:c r="D288" s="3" t="str">
        <x:v>P0</x:v>
      </x:c>
      <x:c r="E288" s="3" t="str">
        <x:v>计费</x:v>
      </x:c>
      <x:c r="F288" s="3" t="str">
        <x:v>Web + API + DB + Wrapper；恢复门禁用 E2</x:v>
      </x:c>
      <x:c r="G288" s="3" t="str">
        <x:v>普通用户 A 拥有高风险测试命令；Admin/B/Workflow Token 用于权限反例；使用可控时钟。</x:v>
      </x:c>
      <x:c r="H288" s="3" t="str">
        <x:v>模型已消耗 Token 后进入等待</x:v>
      </x:c>
      <x:c r="I288" s="3" t="str">
        <x:v>1. 拒绝/超时后结束本轮
2. 对比测量 Usage 与账本</x:v>
      </x:c>
      <x:c r="J288" s="3" t="str">
        <x:v>1. 已发生模型消耗结算
2. 未执行外部命令不等于模型免费
3. 不重复收费</x:v>
      </x:c>
      <x:c r="K288" s="3" t="str">
        <x:v>S01;S15;S16</x:v>
      </x:c>
      <x:c r="L288" s="3" t="str">
        <x:v>实现路径存在，待执行验收</x:v>
      </x:c>
      <x:c r="M288" s="12" t="str">
        <x:v>未执行</x:v>
      </x:c>
      <x:c r="N288" s="12" t="str"/>
      <x:c r="O288" s="12" t="str"/>
      <x:c r="P288" s="12" t="str"/>
    </x:row>
    <x:row r="289" ht="57" customHeight="1">
      <x:c r="A289" s="3" t="str">
        <x:v>APR-017</x:v>
      </x:c>
      <x:c r="B289" s="3" t="str">
        <x:v>命令审批与用户等待</x:v>
      </x:c>
      <x:c r="C289" s="3" t="str">
        <x:v>Worker 重启恢复审批</x:v>
      </x:c>
      <x:c r="D289" s="3" t="str">
        <x:v>P0</x:v>
      </x:c>
      <x:c r="E289" s="3" t="str">
        <x:v>恢复</x:v>
      </x:c>
      <x:c r="F289" s="3" t="str">
        <x:v>Web + API + DB + Wrapper；恢复门禁用 E2</x:v>
      </x:c>
      <x:c r="G289" s="3" t="str">
        <x:v>普通用户 A 拥有高风险测试命令；Admin/B/Workflow Token 用于权限反例；使用可控时钟。</x:v>
      </x:c>
      <x:c r="H289" s="3" t="str">
        <x:v>分别准备 pending/approved/expired/revoked 请求</x:v>
      </x:c>
      <x:c r="I289" s="3" t="str">
        <x:v>1. 在等待期间重启 Worker
2. 执行 Reconcile
3. 核对命令与状态</x:v>
      </x:c>
      <x:c r="J289" s="3" t="str">
        <x:v>1. 目标：仅恢复合法持久化状态
2. 过期/撤销不启动
3. 不重复消费批准</x:v>
      </x:c>
      <x:c r="K289" s="3" t="str">
        <x:v>S01;S15;S16</x:v>
      </x:c>
      <x:c r="L289" s="3" t="str">
        <x:v>已知未完成：Worker 重启恢复；用于后续验收</x:v>
      </x:c>
      <x:c r="M289" s="12" t="str">
        <x:v>未执行</x:v>
      </x:c>
      <x:c r="N289" s="12" t="str">
        <x:v>部分步骤证据：E2E-033 阻塞。完整结果见“E2E执行”。未执行全部原用例步骤，不据此标记整条通过。</x:v>
      </x:c>
      <x:c r="O289" s="12" t="str"/>
      <x:c r="P289" s="12" t="str">
        <x:v>Codex / 2026-09-06 17:21 Asia/Shanghai</x:v>
      </x:c>
    </x:row>
    <x:row r="290" ht="57" customHeight="1">
      <x:c r="A290" s="3" t="str">
        <x:v>APR-018</x:v>
      </x:c>
      <x:c r="B290" s="3" t="str">
        <x:v>命令审批与用户等待</x:v>
      </x:c>
      <x:c r="C290" s="3" t="str">
        <x:v>等待事件顺序与终态</x:v>
      </x:c>
      <x:c r="D290" s="3" t="str">
        <x:v>P0</x:v>
      </x:c>
      <x:c r="E290" s="3" t="str">
        <x:v>契约</x:v>
      </x:c>
      <x:c r="F290" s="3" t="str">
        <x:v>Web + API + DB + Wrapper；恢复门禁用 E2</x:v>
      </x:c>
      <x:c r="G290" s="3" t="str">
        <x:v>普通用户 A 拥有高风险测试命令；Admin/B/Workflow Token 用于权限反例；使用可控时钟。</x:v>
      </x:c>
      <x:c r="H290" s="3" t="str">
        <x:v>运行、等待、批准、恢复、成功事件链</x:v>
      </x:c>
      <x:c r="I290" s="3" t="str">
        <x:v>1. 完整执行链并重放 events
2. 检查序号和终态</x:v>
      </x:c>
      <x:c r="J290" s="3" t="str">
        <x:v>1. Sequence 单调递增且 Run ID 匹配
2. waiting 非终态
3. 最终仅一个终态</x:v>
      </x:c>
      <x:c r="K290" s="3" t="str">
        <x:v>S01;S15;S16</x:v>
      </x:c>
      <x:c r="L290" s="3" t="str">
        <x:v>实现路径存在，待执行验收</x:v>
      </x:c>
      <x:c r="M290" s="12" t="str">
        <x:v>未执行</x:v>
      </x:c>
      <x:c r="N290" s="12" t="str"/>
      <x:c r="O290" s="12" t="str"/>
      <x:c r="P290" s="12" t="str"/>
    </x:row>
    <x:row r="291" ht="57" customHeight="1">
      <x:c r="A291" s="3" t="str">
        <x:v>SET-001</x:v>
      </x:c>
      <x:c r="B291" s="3" t="str">
        <x:v>模型目录与个人设置</x:v>
      </x:c>
      <x:c r="C291" s="3" t="str">
        <x:v>内置 Provider 预置</x:v>
      </x:c>
      <x:c r="D291" s="3" t="str">
        <x:v>P1</x:v>
      </x:c>
      <x:c r="E291" s="3" t="str">
        <x:v>正向</x:v>
      </x:c>
      <x:c r="F291" s="3" t="str">
        <x:v>Web + API + DB；真实协议需 E2</x:v>
      </x:c>
      <x:c r="G291" s="3" t="str">
        <x:v>Admin/A/B；准备可模拟 /models 成功/失败的 Provider，以及五 Runtime 可用性配置。</x:v>
      </x:c>
      <x:c r="H291" s="3" t="str">
        <x:v>OpenAI、Anthropic、Gemini、xAI、DeepSeek、阿里、火山、Moonshot、智谱、MiniMax、自定义</x:v>
      </x:c>
      <x:c r="I291" s="3" t="str">
        <x:v>1. 管理员打开新增连接
2. 逐项切换 Provider</x:v>
      </x:c>
      <x:c r="J291" s="3" t="str">
        <x:v>1. 预填对应 Endpoint/协议
2. 自定义可显式选协议
3. 不把 Provider 品牌当 wire protocol</x:v>
      </x:c>
      <x:c r="K291" s="3" t="str">
        <x:v>S01;S17;S18</x:v>
      </x:c>
      <x:c r="L291" s="3" t="str">
        <x:v>实现路径存在，待执行验收</x:v>
      </x:c>
      <x:c r="M291" s="12" t="str">
        <x:v>未执行</x:v>
      </x:c>
      <x:c r="N291" s="12" t="str"/>
      <x:c r="O291" s="12" t="str"/>
      <x:c r="P291" s="12" t="str"/>
    </x:row>
    <x:row r="292" ht="42" customHeight="1">
      <x:c r="A292" s="3" t="str">
        <x:v>SET-002</x:v>
      </x:c>
      <x:c r="B292" s="3" t="str">
        <x:v>模型目录与个人设置</x:v>
      </x:c>
      <x:c r="C292" s="3" t="str">
        <x:v>管理员创建全局连接</x:v>
      </x:c>
      <x:c r="D292" s="3" t="str">
        <x:v>P0</x:v>
      </x:c>
      <x:c r="E292" s="3" t="str">
        <x:v>正向</x:v>
      </x:c>
      <x:c r="F292" s="3" t="str">
        <x:v>Web + API + DB；真实协议需 E2</x:v>
      </x:c>
      <x:c r="G292" s="3" t="str">
        <x:v>Admin/A/B；准备可模拟 /models 成功/失败的 Provider，以及五 Runtime 可用性配置。</x:v>
      </x:c>
      <x:c r="H292" s="3" t="str">
        <x:v>name=QA Provider，合法 Endpoint、协议、测试 API Key</x:v>
      </x:c>
      <x:c r="I292" s="3" t="str">
        <x:v>1. 管理员保存
2. A/B 分别读取连接列表</x:v>
      </x:c>
      <x:c r="J292" s="3" t="str">
        <x:v>1. 所有用户读取同一全局目录
2. 创建时不自动更改个人 Runtime 默认</x:v>
      </x:c>
      <x:c r="K292" s="3" t="str">
        <x:v>S01;S17;S18</x:v>
      </x:c>
      <x:c r="L292" s="3" t="str">
        <x:v>实现路径存在，待执行验收</x:v>
      </x:c>
      <x:c r="M292" s="12" t="str">
        <x:v>未执行</x:v>
      </x:c>
      <x:c r="N292" s="12" t="str"/>
      <x:c r="O292" s="12" t="str"/>
      <x:c r="P292" s="12" t="str"/>
    </x:row>
    <x:row r="293" ht="57" customHeight="1">
      <x:c r="A293" s="3" t="str">
        <x:v>SET-003</x:v>
      </x:c>
      <x:c r="B293" s="3" t="str">
        <x:v>模型目录与个人设置</x:v>
      </x:c>
      <x:c r="C293" s="3" t="str">
        <x:v>普通用户不可修改目录</x:v>
      </x:c>
      <x:c r="D293" s="3" t="str">
        <x:v>P0</x:v>
      </x:c>
      <x:c r="E293" s="3" t="str">
        <x:v>权限</x:v>
      </x:c>
      <x:c r="F293" s="3" t="str">
        <x:v>Web + API + DB；真实协议需 E2</x:v>
      </x:c>
      <x:c r="G293" s="3" t="str">
        <x:v>Admin/A/B；准备可模拟 /models 成功/失败的 Provider，以及五 Runtime 可用性配置。</x:v>
      </x:c>
      <x:c r="H293" s="3" t="str">
        <x:v>A 登录</x:v>
      </x:c>
      <x:c r="I293" s="3" t="str">
        <x:v>1. 检查设置管理控件
2. 调用 create/update/delete/refresh/add-model</x:v>
      </x:c>
      <x:c r="J293" s="3" t="str">
        <x:v>1. 无管理员修改入口
2. 五类变更 API 均 403
3. 仍可选择可用全局模型</x:v>
      </x:c>
      <x:c r="K293" s="3" t="str">
        <x:v>S01;S17;S18</x:v>
      </x:c>
      <x:c r="L293" s="3" t="str">
        <x:v>实现路径存在，待执行验收</x:v>
      </x:c>
      <x:c r="M293" s="12" t="str">
        <x:v>未执行</x:v>
      </x:c>
      <x:c r="N293" s="12" t="str">
        <x:v>部分步骤证据：E2E-018 通过。完整结果见“E2E执行”。未执行全部原用例步骤，不据此标记整条通过。</x:v>
      </x:c>
      <x:c r="O293" s="12" t="str"/>
      <x:c r="P293" s="12" t="str">
        <x:v>Codex / 2026-09-06 17:21 Asia/Shanghai</x:v>
      </x:c>
    </x:row>
    <x:row r="294" ht="57" customHeight="1">
      <x:c r="A294" s="3" t="str">
        <x:v>SET-004</x:v>
      </x:c>
      <x:c r="B294" s="3" t="str">
        <x:v>模型目录与个人设置</x:v>
      </x:c>
      <x:c r="C294" s="3" t="str">
        <x:v>API Key 只写及替换</x:v>
      </x:c>
      <x:c r="D294" s="3" t="str">
        <x:v>P0</x:v>
      </x:c>
      <x:c r="E294" s="3" t="str">
        <x:v>安全</x:v>
      </x:c>
      <x:c r="F294" s="3" t="str">
        <x:v>Web + API + DB；真实协议需 E2</x:v>
      </x:c>
      <x:c r="G294" s="3" t="str">
        <x:v>Admin/A/B；准备可模拟 /models 成功/失败的 Provider，以及五 Runtime 可用性配置。</x:v>
      </x:c>
      <x:c r="H294" s="3" t="str">
        <x:v>连接已有 K1；更新为 K2</x:v>
      </x:c>
      <x:c r="I294" s="3" t="str">
        <x:v>1. 保存后重新打开
2. 修改非 Secret 字段
3. 替换 Key</x:v>
      </x:c>
      <x:c r="J294" s="3" t="str">
        <x:v>1. 已有 Key 不回显
2. 普通修改按合同保留现有凭据
3. 替换后新版本引用 K2</x:v>
      </x:c>
      <x:c r="K294" s="3" t="str">
        <x:v>S01;S17;S18</x:v>
      </x:c>
      <x:c r="L294" s="3" t="str">
        <x:v>实现路径存在，待执行验收</x:v>
      </x:c>
      <x:c r="M294" s="12" t="str">
        <x:v>未执行</x:v>
      </x:c>
      <x:c r="N294" s="12" t="str"/>
      <x:c r="O294" s="12" t="str"/>
      <x:c r="P294" s="12" t="str"/>
    </x:row>
    <x:row r="295" ht="57" customHeight="1">
      <x:c r="A295" s="3" t="str">
        <x:v>SET-005</x:v>
      </x:c>
      <x:c r="B295" s="3" t="str">
        <x:v>模型目录与个人设置</x:v>
      </x:c>
      <x:c r="C295" s="3" t="str">
        <x:v>允许可信 HTTP 网关</x:v>
      </x:c>
      <x:c r="D295" s="3" t="str">
        <x:v>P1</x:v>
      </x:c>
      <x:c r="E295" s="3" t="str">
        <x:v>正向</x:v>
      </x:c>
      <x:c r="F295" s="3" t="str">
        <x:v>Web + API + DB；真实协议需 E2</x:v>
      </x:c>
      <x:c r="G295" s="3" t="str">
        <x:v>Admin/A/B；准备可模拟 /models 成功/失败的 Provider，以及五 Runtime 可用性配置。</x:v>
      </x:c>
      <x:c r="H295" s="3" t="str">
        <x:v>http://model-gateway.example.test/v1</x:v>
      </x:c>
      <x:c r="I295" s="3" t="str">
        <x:v>1. 创建或修改连接
2. 保存并检查状态</x:v>
      </x:c>
      <x:c r="J295" s="3" t="str">
        <x:v>1. 绝对 HTTP Endpoint 可保存
2. 标记自定义/未验证
3. 不假装传输加密</x:v>
      </x:c>
      <x:c r="K295" s="3" t="str">
        <x:v>S01;S17;S18</x:v>
      </x:c>
      <x:c r="L295" s="3" t="str">
        <x:v>实现路径存在，待执行验收</x:v>
      </x:c>
      <x:c r="M295" s="12" t="str">
        <x:v>未执行</x:v>
      </x:c>
      <x:c r="N295" s="12" t="str"/>
      <x:c r="O295" s="12" t="str"/>
      <x:c r="P295" s="12" t="str"/>
    </x:row>
    <x:row r="296" ht="42" customHeight="1">
      <x:c r="A296" s="3" t="str">
        <x:v>SET-006</x:v>
      </x:c>
      <x:c r="B296" s="3" t="str">
        <x:v>模型目录与个人设置</x:v>
      </x:c>
      <x:c r="C296" s="3" t="str">
        <x:v>拒绝危险 Endpoint</x:v>
      </x:c>
      <x:c r="D296" s="3" t="str">
        <x:v>P0</x:v>
      </x:c>
      <x:c r="E296" s="3" t="str">
        <x:v>安全</x:v>
      </x:c>
      <x:c r="F296" s="3" t="str">
        <x:v>Web + API + DB；真实协议需 E2</x:v>
      </x:c>
      <x:c r="G296" s="3" t="str">
        <x:v>Admin/A/B；准备可模拟 /models 成功/失败的 Provider，以及五 Runtime 可用性配置。</x:v>
      </x:c>
      <x:c r="H296" s="3" t="str">
        <x:v>ftp://、相对 URL、userinfo、query、fragment</x:v>
      </x:c>
      <x:c r="I296" s="3" t="str">
        <x:v>1. 逐项保存连接
2. 查看提示和持久化</x:v>
      </x:c>
      <x:c r="J296" s="3" t="str">
        <x:v>1. 只允许无 userinfo/query/fragment 的绝对 HTTP(S)
2. 不把 Secret 放进地址</x:v>
      </x:c>
      <x:c r="K296" s="3" t="str">
        <x:v>S01;S17;S18</x:v>
      </x:c>
      <x:c r="L296" s="3" t="str">
        <x:v>实现路径存在，待执行验收</x:v>
      </x:c>
      <x:c r="M296" s="12" t="str">
        <x:v>未执行</x:v>
      </x:c>
      <x:c r="N296" s="12" t="str"/>
      <x:c r="O296" s="12" t="str"/>
      <x:c r="P296" s="12" t="str"/>
    </x:row>
    <x:row r="297" ht="57" customHeight="1">
      <x:c r="A297" s="3" t="str">
        <x:v>SET-007</x:v>
      </x:c>
      <x:c r="B297" s="3" t="str">
        <x:v>模型目录与个人设置</x:v>
      </x:c>
      <x:c r="C297" s="3" t="str">
        <x:v>协议有效值与重复校验</x:v>
      </x:c>
      <x:c r="D297" s="3" t="str">
        <x:v>P1</x:v>
      </x:c>
      <x:c r="E297" s="3" t="str">
        <x:v>边界</x:v>
      </x:c>
      <x:c r="F297" s="3" t="str">
        <x:v>Web + API + DB；真实协议需 E2</x:v>
      </x:c>
      <x:c r="G297" s="3" t="str">
        <x:v>Admin/A/B；准备可模拟 /models 成功/失败的 Provider，以及五 Runtime 可用性配置。</x:v>
      </x:c>
      <x:c r="H297" s="3" t="str">
        <x:v>未知协议、重复协议、空协议集合</x:v>
      </x:c>
      <x:c r="I297" s="3" t="str">
        <x:v>1. 逐项保存自定义连接
2. 再提交合法多协议</x:v>
      </x:c>
      <x:c r="J297" s="3" t="str">
        <x:v>1. 非法协议拒绝
2. 合法组合可保存
3. 不靠型号名称推断协议</x:v>
      </x:c>
      <x:c r="K297" s="3" t="str">
        <x:v>S01;S17;S18</x:v>
      </x:c>
      <x:c r="L297" s="3" t="str">
        <x:v>实现路径存在，待执行验收</x:v>
      </x:c>
      <x:c r="M297" s="12" t="str">
        <x:v>未执行</x:v>
      </x:c>
      <x:c r="N297" s="12" t="str"/>
      <x:c r="O297" s="12" t="str"/>
      <x:c r="P297" s="12" t="str"/>
    </x:row>
    <x:row r="298" ht="57" customHeight="1">
      <x:c r="A298" s="3" t="str">
        <x:v>SET-008</x:v>
      </x:c>
      <x:c r="B298" s="3" t="str">
        <x:v>模型目录与个人设置</x:v>
      </x:c>
      <x:c r="C298" s="3" t="str">
        <x:v>/models 发现成功</x:v>
      </x:c>
      <x:c r="D298" s="3" t="str">
        <x:v>P0</x:v>
      </x:c>
      <x:c r="E298" s="3" t="str">
        <x:v>正向</x:v>
      </x:c>
      <x:c r="F298" s="3" t="str">
        <x:v>Web + API + DB；真实协议需 E2</x:v>
      </x:c>
      <x:c r="G298" s="3" t="str">
        <x:v>Admin/A/B；准备可模拟 /models 成功/失败的 Provider，以及五 Runtime 可用性配置。</x:v>
      </x:c>
      <x:c r="H298" s="3" t="str">
        <x:v>Provider 返回合法模型 ID 和显示元数据</x:v>
      </x:c>
      <x:c r="I298" s="3" t="str">
        <x:v>1. 保存连接或点 Refresh
2. 查看模型列表</x:v>
      </x:c>
      <x:c r="J298" s="3" t="str">
        <x:v>1. 展示发现的可用模型
2. 每个模型以一个 identifier 调用
3. 元数据只改善显示</x:v>
      </x:c>
      <x:c r="K298" s="3" t="str">
        <x:v>S01;S17;S18</x:v>
      </x:c>
      <x:c r="L298" s="3" t="str">
        <x:v>实现路径存在，待执行验收</x:v>
      </x:c>
      <x:c r="M298" s="12" t="str">
        <x:v>未执行</x:v>
      </x:c>
      <x:c r="N298" s="12" t="str"/>
      <x:c r="O298" s="12" t="str"/>
      <x:c r="P298" s="12" t="str"/>
    </x:row>
    <x:row r="299" ht="57" customHeight="1">
      <x:c r="A299" s="3" t="str">
        <x:v>SET-009</x:v>
      </x:c>
      <x:c r="B299" s="3" t="str">
        <x:v>模型目录与个人设置</x:v>
      </x:c>
      <x:c r="C299" s="3" t="str">
        <x:v>/models 失败使用内置默认</x:v>
      </x:c>
      <x:c r="D299" s="3" t="str">
        <x:v>P1</x:v>
      </x:c>
      <x:c r="E299" s="3" t="str">
        <x:v>恢复</x:v>
      </x:c>
      <x:c r="F299" s="3" t="str">
        <x:v>Web + API + DB；真实协议需 E2</x:v>
      </x:c>
      <x:c r="G299" s="3" t="str">
        <x:v>Admin/A/B；准备可模拟 /models 成功/失败的 Provider，以及五 Runtime 可用性配置。</x:v>
      </x:c>
      <x:c r="H299" s="3" t="str">
        <x:v>内置 Provider 的 /models 超时、不支持、空集合</x:v>
      </x:c>
      <x:c r="I299" s="3" t="str">
        <x:v>1. 刷新模型
2. 查看目录和反馈</x:v>
      </x:c>
      <x:c r="J299" s="3" t="str">
        <x:v>1. 载入维护的默认列表
2. 不把可用 fallback 目录显示成保存失败
3. 仍标注未验证</x:v>
      </x:c>
      <x:c r="K299" s="3" t="str">
        <x:v>S01;S17;S18</x:v>
      </x:c>
      <x:c r="L299" s="3" t="str">
        <x:v>实现路径存在，待执行验收</x:v>
      </x:c>
      <x:c r="M299" s="12" t="str">
        <x:v>未执行</x:v>
      </x:c>
      <x:c r="N299" s="12" t="str"/>
      <x:c r="O299" s="12" t="str"/>
      <x:c r="P299" s="12" t="str"/>
    </x:row>
    <x:row r="300" ht="57" customHeight="1">
      <x:c r="A300" s="3" t="str">
        <x:v>SET-010</x:v>
      </x:c>
      <x:c r="B300" s="3" t="str">
        <x:v>模型目录与个人设置</x:v>
      </x:c>
      <x:c r="C300" s="3" t="str">
        <x:v>自定义无默认时可手工加模型</x:v>
      </x:c>
      <x:c r="D300" s="3" t="str">
        <x:v>P1</x:v>
      </x:c>
      <x:c r="E300" s="3" t="str">
        <x:v>恢复</x:v>
      </x:c>
      <x:c r="F300" s="3" t="str">
        <x:v>Web + API + DB；真实协议需 E2</x:v>
      </x:c>
      <x:c r="G300" s="3" t="str">
        <x:v>Admin/A/B；准备可模拟 /models 成功/失败的 Provider，以及五 Runtime 可用性配置。</x:v>
      </x:c>
      <x:c r="H300" s="3" t="str">
        <x:v>custom Provider /models 失败且无默认</x:v>
      </x:c>
      <x:c r="I300" s="3" t="str">
        <x:v>1. 保存连接
2. 查看发现失败提示
3. 用一个 Model 字段新增 qa-model</x:v>
      </x:c>
      <x:c r="J300" s="3" t="str">
        <x:v>1. 连接仍可用
2. 明确发现失败
3. 可手动新增模型而无需第二个显示名字段</x:v>
      </x:c>
      <x:c r="K300" s="3" t="str">
        <x:v>S01;S17;S18</x:v>
      </x:c>
      <x:c r="L300" s="3" t="str">
        <x:v>实现路径存在，待执行验收</x:v>
      </x:c>
      <x:c r="M300" s="12" t="str">
        <x:v>未执行</x:v>
      </x:c>
      <x:c r="N300" s="12" t="str"/>
      <x:c r="O300" s="12" t="str"/>
      <x:c r="P300" s="12" t="str"/>
    </x:row>
    <x:row r="301" ht="42" customHeight="1">
      <x:c r="A301" s="3" t="str">
        <x:v>SET-011</x:v>
      </x:c>
      <x:c r="B301" s="3" t="str">
        <x:v>模型目录与个人设置</x:v>
      </x:c>
      <x:c r="C301" s="3" t="str">
        <x:v>重复与空模型标识</x:v>
      </x:c>
      <x:c r="D301" s="3" t="str">
        <x:v>P1</x:v>
      </x:c>
      <x:c r="E301" s="3" t="str">
        <x:v>边界</x:v>
      </x:c>
      <x:c r="F301" s="3" t="str">
        <x:v>Web + API + DB；真实协议需 E2</x:v>
      </x:c>
      <x:c r="G301" s="3" t="str">
        <x:v>Admin/A/B；准备可模拟 /models 成功/失败的 Provider，以及五 Runtime 可用性配置。</x:v>
      </x:c>
      <x:c r="H301" s="3" t="str">
        <x:v>同连接已有 qa-model；空白 ID</x:v>
      </x:c>
      <x:c r="I301" s="3" t="str">
        <x:v>1. 分别手动新增
2. 查询目录</x:v>
      </x:c>
      <x:c r="J301" s="3" t="str">
        <x:v>1. 不产生空白或重复调用身份
2. 错误后保留输入以修正</x:v>
      </x:c>
      <x:c r="K301" s="3" t="str">
        <x:v>S01;S17;S18</x:v>
      </x:c>
      <x:c r="L301" s="3" t="str">
        <x:v>实现路径存在，待执行验收</x:v>
      </x:c>
      <x:c r="M301" s="12" t="str">
        <x:v>未执行</x:v>
      </x:c>
      <x:c r="N301" s="12" t="str"/>
      <x:c r="O301" s="12" t="str"/>
      <x:c r="P301" s="12" t="str"/>
    </x:row>
    <x:row r="302" ht="57" customHeight="1">
      <x:c r="A302" s="3" t="str">
        <x:v>SET-012</x:v>
      </x:c>
      <x:c r="B302" s="3" t="str">
        <x:v>模型目录与个人设置</x:v>
      </x:c>
      <x:c r="C302" s="3" t="str">
        <x:v>五 Runtime 各设默认模型</x:v>
      </x:c>
      <x:c r="D302" s="3" t="str">
        <x:v>P0</x:v>
      </x:c>
      <x:c r="E302" s="3" t="str">
        <x:v>正向</x:v>
      </x:c>
      <x:c r="F302" s="3" t="str">
        <x:v>Web + API + DB；真实协议需 E2</x:v>
      </x:c>
      <x:c r="G302" s="3" t="str">
        <x:v>Admin/A/B；准备可模拟 /models 成功/失败的 Provider，以及五 Runtime 可用性配置。</x:v>
      </x:c>
      <x:c r="H302" s="3" t="str">
        <x:v>Claude、Codex、Hermes、OpenClaw、PI Agent</x:v>
      </x:c>
      <x:c r="I302" s="3" t="str">
        <x:v>1. 为每个可用 Runtime 选择兼容默认模型
2. 保存并刷新</x:v>
      </x:c>
      <x:c r="J302" s="3" t="str">
        <x:v>1. 每 Runtime 独立保存默认
2. 不可用状态明确
3. 无多余 Runtime 选项</x:v>
      </x:c>
      <x:c r="K302" s="3" t="str">
        <x:v>S01;S17;S18</x:v>
      </x:c>
      <x:c r="L302" s="3" t="str">
        <x:v>实现路径存在，待执行验收</x:v>
      </x:c>
      <x:c r="M302" s="12" t="str">
        <x:v>未执行</x:v>
      </x:c>
      <x:c r="N302" s="12" t="str"/>
      <x:c r="O302" s="12" t="str"/>
      <x:c r="P302" s="12" t="str"/>
    </x:row>
    <x:row r="303" ht="57" customHeight="1">
      <x:c r="A303" s="3" t="str">
        <x:v>SET-013</x:v>
      </x:c>
      <x:c r="B303" s="3" t="str">
        <x:v>模型目录与个人设置</x:v>
      </x:c>
      <x:c r="C303" s="3" t="str">
        <x:v>未验证兼容允许保存</x:v>
      </x:c>
      <x:c r="D303" s="3" t="str">
        <x:v>P1</x:v>
      </x:c>
      <x:c r="E303" s="3" t="str">
        <x:v>边界</x:v>
      </x:c>
      <x:c r="F303" s="3" t="str">
        <x:v>Web + API + DB；真实协议需 E2</x:v>
      </x:c>
      <x:c r="G303" s="3" t="str">
        <x:v>Admin/A/B；准备可模拟 /models 成功/失败的 Provider，以及五 Runtime 可用性配置。</x:v>
      </x:c>
      <x:c r="H303" s="3" t="str">
        <x:v>compatibility=unverified 的组合</x:v>
      </x:c>
      <x:c r="I303" s="3" t="str">
        <x:v>1. 选择该模型
2. 观察提醒
3. 保存</x:v>
      </x:c>
      <x:c r="J303" s="3" t="str">
        <x:v>1. 有非阻断警告
2. 允许选择
3. 不误标 verified</x:v>
      </x:c>
      <x:c r="K303" s="3" t="str">
        <x:v>S01;S17;S18</x:v>
      </x:c>
      <x:c r="L303" s="3" t="str">
        <x:v>实现路径存在，待执行验收</x:v>
      </x:c>
      <x:c r="M303" s="12" t="str">
        <x:v>未执行</x:v>
      </x:c>
      <x:c r="N303" s="12" t="str"/>
      <x:c r="O303" s="12" t="str"/>
      <x:c r="P303" s="12" t="str"/>
    </x:row>
    <x:row r="304" ht="42" customHeight="1">
      <x:c r="A304" s="3" t="str">
        <x:v>SET-014</x:v>
      </x:c>
      <x:c r="B304" s="3" t="str">
        <x:v>模型目录与个人设置</x:v>
      </x:c>
      <x:c r="C304" s="3" t="str">
        <x:v>不兼容组合拒绝</x:v>
      </x:c>
      <x:c r="D304" s="3" t="str">
        <x:v>P0</x:v>
      </x:c>
      <x:c r="E304" s="3" t="str">
        <x:v>边界</x:v>
      </x:c>
      <x:c r="F304" s="3" t="str">
        <x:v>Web + API + DB；真实协议需 E2</x:v>
      </x:c>
      <x:c r="G304" s="3" t="str">
        <x:v>Admin/A/B；准备可模拟 /models 成功/失败的 Provider，以及五 Runtime 可用性配置。</x:v>
      </x:c>
      <x:c r="H304" s="3" t="str">
        <x:v>Claude+仅 Responses；Codex+仅 Anthropic</x:v>
      </x:c>
      <x:c r="I304" s="3" t="str">
        <x:v>1. 尝试设默认
2. 伪造直接 API 更新</x:v>
      </x:c>
      <x:c r="J304" s="3" t="str">
        <x:v>1. 不兼容组合不可保存
2. 不自动换模型/Runtime</x:v>
      </x:c>
      <x:c r="K304" s="3" t="str">
        <x:v>S01;S17;S18</x:v>
      </x:c>
      <x:c r="L304" s="3" t="str">
        <x:v>实现路径存在，待执行验收</x:v>
      </x:c>
      <x:c r="M304" s="12" t="str">
        <x:v>未执行</x:v>
      </x:c>
      <x:c r="N304" s="12" t="str"/>
      <x:c r="O304" s="12" t="str"/>
      <x:c r="P304" s="12" t="str"/>
    </x:row>
    <x:row r="305" ht="57" customHeight="1">
      <x:c r="A305" s="3" t="str">
        <x:v>SET-015</x:v>
      </x:c>
      <x:c r="B305" s="3" t="str">
        <x:v>模型目录与个人设置</x:v>
      </x:c>
      <x:c r="C305" s="3" t="str">
        <x:v>不可用 Runtime 明确失败</x:v>
      </x:c>
      <x:c r="D305" s="3" t="str">
        <x:v>P0</x:v>
      </x:c>
      <x:c r="E305" s="3" t="str">
        <x:v>异常</x:v>
      </x:c>
      <x:c r="F305" s="3" t="str">
        <x:v>Web + API + DB；真实协议需 E2</x:v>
      </x:c>
      <x:c r="G305" s="3" t="str">
        <x:v>Admin/A/B；准备可模拟 /models 成功/失败的 Provider，以及五 Runtime 可用性配置。</x:v>
      </x:c>
      <x:c r="H305" s="3" t="str">
        <x:v>冻结 Runtime unavailable</x:v>
      </x:c>
      <x:c r="I305" s="3" t="str">
        <x:v>1. 尝试新配置和既有快照调用</x:v>
      </x:c>
      <x:c r="J305" s="3" t="str">
        <x:v>1. 新选择受可用性限制
2. 历史调用明确失败
3. 不静默切换其他 Runtime</x:v>
      </x:c>
      <x:c r="K305" s="3" t="str">
        <x:v>S01;S17;S18</x:v>
      </x:c>
      <x:c r="L305" s="3" t="str">
        <x:v>实现路径存在，待执行验收</x:v>
      </x:c>
      <x:c r="M305" s="12" t="str">
        <x:v>未执行</x:v>
      </x:c>
      <x:c r="N305" s="12" t="str">
        <x:v>部分步骤证据：E2E-019 通过。完整结果见“E2E执行”。未执行全部原用例步骤，不据此标记整条通过。</x:v>
      </x:c>
      <x:c r="O305" s="12" t="str"/>
      <x:c r="P305" s="12" t="str">
        <x:v>Codex / 2026-09-06 17:21 Asia/Shanghai</x:v>
      </x:c>
    </x:row>
    <x:row r="306" ht="57" customHeight="1">
      <x:c r="A306" s="3" t="str">
        <x:v>SET-016</x:v>
      </x:c>
      <x:c r="B306" s="3" t="str">
        <x:v>模型目录与个人设置</x:v>
      </x:c>
      <x:c r="C306" s="3" t="str">
        <x:v>连接删除依赖保护</x:v>
      </x:c>
      <x:c r="D306" s="3" t="str">
        <x:v>P0</x:v>
      </x:c>
      <x:c r="E306" s="3" t="str">
        <x:v>依赖</x:v>
      </x:c>
      <x:c r="F306" s="3" t="str">
        <x:v>Web + API + DB；真实协议需 E2</x:v>
      </x:c>
      <x:c r="G306" s="3" t="str">
        <x:v>Admin/A/B；准备可模拟 /models 成功/失败的 Provider，以及五 Runtime 可用性配置。</x:v>
      </x:c>
      <x:c r="H306" s="3" t="str">
        <x:v>连接被 A Runtime 默认或可继续历史快照引用</x:v>
      </x:c>
      <x:c r="I306" s="3" t="str">
        <x:v>1. 管理员删除
2. 解除可变默认仍保留历史
3. 再检查</x:v>
      </x:c>
      <x:c r="J306" s="3" t="str">
        <x:v>1. 有任何阻止删除引用时明确冲突
2. 不破坏其他用户可继续执行的凭据引用</x:v>
      </x:c>
      <x:c r="K306" s="3" t="str">
        <x:v>S01;S17;S18</x:v>
      </x:c>
      <x:c r="L306" s="3" t="str">
        <x:v>实现路径存在，待执行验收</x:v>
      </x:c>
      <x:c r="M306" s="12" t="str">
        <x:v>未执行</x:v>
      </x:c>
      <x:c r="N306" s="12" t="str"/>
      <x:c r="O306" s="12" t="str"/>
      <x:c r="P306" s="12" t="str"/>
    </x:row>
    <x:row r="307" ht="57" customHeight="1">
      <x:c r="A307" s="3" t="str">
        <x:v>SET-017</x:v>
      </x:c>
      <x:c r="B307" s="3" t="str">
        <x:v>模型目录与个人设置</x:v>
      </x:c>
      <x:c r="C307" s="3" t="str">
        <x:v>个人设置乐观锁</x:v>
      </x:c>
      <x:c r="D307" s="3" t="str">
        <x:v>P1</x:v>
      </x:c>
      <x:c r="E307" s="3" t="str">
        <x:v>并发</x:v>
      </x:c>
      <x:c r="F307" s="3" t="str">
        <x:v>Web + API + DB；真实协议需 E2</x:v>
      </x:c>
      <x:c r="G307" s="3" t="str">
        <x:v>Admin/A/B；准备可模拟 /models 成功/失败的 Provider，以及五 Runtime 可用性配置。</x:v>
      </x:c>
      <x:c r="H307" s="3" t="str">
        <x:v>两个标签持有同一 Settings version</x:v>
      </x:c>
      <x:c r="I307" s="3" t="str">
        <x:v>1. 分别保存不同默认模型
2. 比较请求和响应</x:v>
      </x:c>
      <x:c r="J307" s="3" t="str">
        <x:v>1. 提交 expected_version
2. 旧版本冲突而不覆盖
3. 不把 version 当可编辑业务字段</x:v>
      </x:c>
      <x:c r="K307" s="3" t="str">
        <x:v>S01;S17;S18</x:v>
      </x:c>
      <x:c r="L307" s="3" t="str">
        <x:v>实现路径存在，待执行验收</x:v>
      </x:c>
      <x:c r="M307" s="12" t="str">
        <x:v>未执行</x:v>
      </x:c>
      <x:c r="N307" s="12" t="str">
        <x:v>部分步骤证据：E2E-017 通过。完整结果见“E2E执行”。未执行全部原用例步骤，不据此标记整条通过。</x:v>
      </x:c>
      <x:c r="O307" s="12" t="str"/>
      <x:c r="P307" s="12" t="str">
        <x:v>Codex / 2026-09-06 17:21 Asia/Shanghai</x:v>
      </x:c>
    </x:row>
    <x:row r="308" ht="42" customHeight="1">
      <x:c r="A308" s="3" t="str">
        <x:v>SET-018</x:v>
      </x:c>
      <x:c r="B308" s="3" t="str">
        <x:v>模型目录与个人设置</x:v>
      </x:c>
      <x:c r="C308" s="3" t="str">
        <x:v>三种预置 Personality 与补充说明</x:v>
      </x:c>
      <x:c r="D308" s="3" t="str">
        <x:v>P1</x:v>
      </x:c>
      <x:c r="E308" s="3" t="str">
        <x:v>正向</x:v>
      </x:c>
      <x:c r="F308" s="3" t="str">
        <x:v>Web + API + DB；真实协议需 E2</x:v>
      </x:c>
      <x:c r="G308" s="3" t="str">
        <x:v>Admin/A/B；准备可模拟 /models 成功/失败的 Provider，以及五 Runtime 可用性配置。</x:v>
      </x:c>
      <x:c r="H308" s="3" t="str">
        <x:v>gentle-professional/direct-efficient/lively-friendly；附加简洁要求</x:v>
      </x:c>
      <x:c r="I308" s="3" t="str">
        <x:v>1. 逐个选择并保存
2. 执行 Session/Run 捕获 instruction</x:v>
      </x:c>
      <x:c r="J308" s="3" t="str">
        <x:v>1. 预置指导和用户补充按规则生效
2. Personality 不选择模型</x:v>
      </x:c>
      <x:c r="K308" s="3" t="str">
        <x:v>S01;S17;S18</x:v>
      </x:c>
      <x:c r="L308" s="3" t="str">
        <x:v>实现路径存在，待执行验收</x:v>
      </x:c>
      <x:c r="M308" s="12" t="str">
        <x:v>未执行</x:v>
      </x:c>
      <x:c r="N308" s="12" t="str"/>
      <x:c r="O308" s="12" t="str"/>
      <x:c r="P308" s="12" t="str"/>
    </x:row>
    <x:row r="309" ht="42" customHeight="1">
      <x:c r="A309" s="3" t="str">
        <x:v>SET-019</x:v>
      </x:c>
      <x:c r="B309" s="3" t="str">
        <x:v>模型目录与个人设置</x:v>
      </x:c>
      <x:c r="C309" s="3" t="str">
        <x:v>自定义 Personality 必须填指导</x:v>
      </x:c>
      <x:c r="D309" s="3" t="str">
        <x:v>P1</x:v>
      </x:c>
      <x:c r="E309" s="3" t="str">
        <x:v>边界</x:v>
      </x:c>
      <x:c r="F309" s="3" t="str">
        <x:v>Web + API + DB；真实协议需 E2</x:v>
      </x:c>
      <x:c r="G309" s="3" t="str">
        <x:v>Admin/A/B；准备可模拟 /models 成功/失败的 Provider，以及五 Runtime 可用性配置。</x:v>
      </x:c>
      <x:c r="H309" s="3" t="str">
        <x:v>custom + 空白；custom + 有效指导</x:v>
      </x:c>
      <x:c r="I309" s="3" t="str">
        <x:v>1. 分别保存
2. 检查错误和指令</x:v>
      </x:c>
      <x:c r="J309" s="3" t="str">
        <x:v>1. 空 custom 拒绝
2. 有效 custom 保存并在后续适用执行中注入</x:v>
      </x:c>
      <x:c r="K309" s="3" t="str">
        <x:v>S01;S17;S18</x:v>
      </x:c>
      <x:c r="L309" s="3" t="str">
        <x:v>实现路径存在，待执行验收</x:v>
      </x:c>
      <x:c r="M309" s="12" t="str">
        <x:v>未执行</x:v>
      </x:c>
      <x:c r="N309" s="12" t="str">
        <x:v>部分步骤证据：E2E-017 通过。完整结果见“E2E执行”。未执行全部原用例步骤，不据此标记整条通过。</x:v>
      </x:c>
      <x:c r="O309" s="12" t="str"/>
      <x:c r="P309" s="12" t="str">
        <x:v>Codex / 2026-09-06 17:21 Asia/Shanghai</x:v>
      </x:c>
    </x:row>
    <x:row r="310" ht="57" customHeight="1">
      <x:c r="A310" s="3" t="str">
        <x:v>SET-020</x:v>
      </x:c>
      <x:c r="B310" s="3" t="str">
        <x:v>模型目录与个人设置</x:v>
      </x:c>
      <x:c r="C310" s="3" t="str">
        <x:v>语言持久化</x:v>
      </x:c>
      <x:c r="D310" s="3" t="str">
        <x:v>P1</x:v>
      </x:c>
      <x:c r="E310" s="3" t="str">
        <x:v>国际化</x:v>
      </x:c>
      <x:c r="F310" s="3" t="str">
        <x:v>Web + API + DB；真实协议需 E2</x:v>
      </x:c>
      <x:c r="G310" s="3" t="str">
        <x:v>Admin/A/B；准备可模拟 /models 成功/失败的 Provider，以及五 Runtime 可用性配置。</x:v>
      </x:c>
      <x:c r="H310" s="3" t="str">
        <x:v>中文与 English</x:v>
      </x:c>
      <x:c r="I310" s="3" t="str">
        <x:v>1. 切换语言保存
2. 刷新并重新登录
3. 查看主要页面</x:v>
      </x:c>
      <x:c r="J310" s="3" t="str">
        <x:v>1. 语言按 Personal Settings 恢复
2. 标签、错误、操作提示一致切换</x:v>
      </x:c>
      <x:c r="K310" s="3" t="str">
        <x:v>S01;S17;S18</x:v>
      </x:c>
      <x:c r="L310" s="3" t="str">
        <x:v>实现路径存在，待执行验收</x:v>
      </x:c>
      <x:c r="M310" s="12" t="str">
        <x:v>未执行</x:v>
      </x:c>
      <x:c r="N310" s="12" t="str"/>
      <x:c r="O310" s="12" t="str"/>
      <x:c r="P310" s="12" t="str"/>
    </x:row>
    <x:row r="311" ht="57" customHeight="1">
      <x:c r="A311" s="3" t="str">
        <x:v>SET-021</x:v>
      </x:c>
      <x:c r="B311" s="3" t="str">
        <x:v>模型目录与个人设置</x:v>
      </x:c>
      <x:c r="C311" s="3" t="str">
        <x:v>时区保存与显示</x:v>
      </x:c>
      <x:c r="D311" s="3" t="str">
        <x:v>P1</x:v>
      </x:c>
      <x:c r="E311" s="3" t="str">
        <x:v>边界</x:v>
      </x:c>
      <x:c r="F311" s="3" t="str">
        <x:v>Web + API + DB；真实协议需 E2</x:v>
      </x:c>
      <x:c r="G311" s="3" t="str">
        <x:v>Admin/A/B；准备可模拟 /models 成功/失败的 Provider，以及五 Runtime 可用性配置。</x:v>
      </x:c>
      <x:c r="H311" s="3" t="str">
        <x:v>Asia/Shanghai、UTC、非法时区</x:v>
      </x:c>
      <x:c r="I311" s="3" t="str">
        <x:v>1. 分别保存
2. 查看历史时间和下一分配时刻</x:v>
      </x:c>
      <x:c r="J311" s="3" t="str">
        <x:v>1. 合法时区生效
2. 非法值拒绝
3. 积分时区生效另遵循 Credit Day 规则</x:v>
      </x:c>
      <x:c r="K311" s="3" t="str">
        <x:v>S01;S17;S18</x:v>
      </x:c>
      <x:c r="L311" s="3" t="str">
        <x:v>实现路径存在，待执行验收</x:v>
      </x:c>
      <x:c r="M311" s="12" t="str">
        <x:v>未执行</x:v>
      </x:c>
      <x:c r="N311" s="12" t="str"/>
      <x:c r="O311" s="12" t="str"/>
      <x:c r="P311" s="12" t="str"/>
    </x:row>
    <x:row r="312" ht="42" customHeight="1">
      <x:c r="A312" s="3" t="str">
        <x:v>SET-022</x:v>
      </x:c>
      <x:c r="B312" s="3" t="str">
        <x:v>模型目录与个人设置</x:v>
      </x:c>
      <x:c r="C312" s="3" t="str">
        <x:v>设置页不管理 Skill 或 Connector</x:v>
      </x:c>
      <x:c r="D312" s="3" t="str">
        <x:v>P2</x:v>
      </x:c>
      <x:c r="E312" s="3" t="str">
        <x:v>范围</x:v>
      </x:c>
      <x:c r="F312" s="3" t="str">
        <x:v>Web + API + DB；真实协议需 E2</x:v>
      </x:c>
      <x:c r="G312" s="3" t="str">
        <x:v>Admin/A/B；准备可模拟 /models 成功/失败的 Provider，以及五 Runtime 可用性配置。</x:v>
      </x:c>
      <x:c r="H312" s="3" t="str">
        <x:v>普通用户设置页</x:v>
      </x:c>
      <x:c r="I312" s="3" t="str">
        <x:v>1. 查看全部设置区域
2. 转到技能·连接器</x:v>
      </x:c>
      <x:c r="J312" s="3" t="str">
        <x:v>1. 资源管理集中在独立目录
2. 设置页仅对应个人及管理员模型配置</x:v>
      </x:c>
      <x:c r="K312" s="3" t="str">
        <x:v>S01;S17;S18</x:v>
      </x:c>
      <x:c r="L312" s="3" t="str">
        <x:v>实现路径存在，待执行验收</x:v>
      </x:c>
      <x:c r="M312" s="12" t="str">
        <x:v>未执行</x:v>
      </x:c>
      <x:c r="N312" s="12" t="str"/>
      <x:c r="O312" s="12" t="str"/>
      <x:c r="P312" s="12" t="str"/>
    </x:row>
    <x:row r="313" ht="57" customHeight="1">
      <x:c r="A313" s="3" t="str">
        <x:v>SET-023</x:v>
      </x:c>
      <x:c r="B313" s="3" t="str">
        <x:v>模型目录与个人设置</x:v>
      </x:c>
      <x:c r="C313" s="3" t="str">
        <x:v>历史响应执行元数据</x:v>
      </x:c>
      <x:c r="D313" s="3" t="str">
        <x:v>P1</x:v>
      </x:c>
      <x:c r="E313" s="3" t="str">
        <x:v>快照</x:v>
      </x:c>
      <x:c r="F313" s="3" t="str">
        <x:v>Web + API + DB；真实协议需 E2</x:v>
      </x:c>
      <x:c r="G313" s="3" t="str">
        <x:v>Admin/A/B；准备可模拟 /models 成功/失败的 Provider，以及五 Runtime 可用性配置。</x:v>
      </x:c>
      <x:c r="H313" s="3" t="str">
        <x:v>团队和单阶段历史消息</x:v>
      </x:c>
      <x:c r="I313" s="3" t="str">
        <x:v>1. 展开执行身份
2. 修改当前模型目录名称
3. 再看旧响应</x:v>
      </x:c>
      <x:c r="J313" s="3" t="str">
        <x:v>1. 每阶段模型、连接、Runtime、专家信息可追溯
2. 旧快照不被当前目录重写</x:v>
      </x:c>
      <x:c r="K313" s="3" t="str">
        <x:v>S01;S17;S18</x:v>
      </x:c>
      <x:c r="L313" s="3" t="str">
        <x:v>实现路径存在，待执行验收</x:v>
      </x:c>
      <x:c r="M313" s="12" t="str">
        <x:v>未执行</x:v>
      </x:c>
      <x:c r="N313" s="12" t="str"/>
      <x:c r="O313" s="12" t="str"/>
      <x:c r="P313" s="12" t="str"/>
    </x:row>
    <x:row r="314" ht="57" customHeight="1">
      <x:c r="A314" s="3" t="str">
        <x:v>SET-024</x:v>
      </x:c>
      <x:c r="B314" s="3" t="str">
        <x:v>模型目录与个人设置</x:v>
      </x:c>
      <x:c r="C314" s="3" t="str">
        <x:v>DeepSeek 与智谱适配映射</x:v>
      </x:c>
      <x:c r="D314" s="3" t="str">
        <x:v>P1</x:v>
      </x:c>
      <x:c r="E314" s="3" t="str">
        <x:v>契约</x:v>
      </x:c>
      <x:c r="F314" s="3" t="str">
        <x:v>Web + API + DB；真实协议需 E2</x:v>
      </x:c>
      <x:c r="G314" s="3" t="str">
        <x:v>Admin/A/B；准备可模拟 /models 成功/失败的 Provider，以及五 Runtime 可用性配置。</x:v>
      </x:c>
      <x:c r="H314" s="3" t="str">
        <x:v>DeepSeek Anthropic 路径；智谱 Claude 配置</x:v>
      </x:c>
      <x:c r="I314" s="3" t="str">
        <x:v>1. 通过 recording Executor 分别运行
2. 检查临时环境和 Endpoint</x:v>
      </x:c>
      <x:c r="J314" s="3" t="str">
        <x:v>1. DeepSeek 只派生一次 /anthropic
2. 智谱使用 ANTHROPIC_AUTH_TOKEN
3. 公开配置不误当 Secret</x:v>
      </x:c>
      <x:c r="K314" s="3" t="str">
        <x:v>S01;S17;S18</x:v>
      </x:c>
      <x:c r="L314" s="3" t="str">
        <x:v>实现路径存在，待执行验收</x:v>
      </x:c>
      <x:c r="M314" s="12" t="str">
        <x:v>未执行</x:v>
      </x:c>
      <x:c r="N314" s="12" t="str"/>
      <x:c r="O314" s="12" t="str"/>
      <x:c r="P314" s="12" t="str"/>
    </x:row>
    <x:row r="315" ht="57" customHeight="1">
      <x:c r="A315" s="3" t="str">
        <x:v>CRD-001</x:v>
      </x:c>
      <x:c r="B315" s="3" t="str">
        <x:v>积分与兑换</x:v>
      </x:c>
      <x:c r="C315" s="3" t="str">
        <x:v>新用户当日默认分配</x:v>
      </x:c>
      <x:c r="D315" s="3" t="str">
        <x:v>P0</x:v>
      </x:c>
      <x:c r="E315" s="3" t="str">
        <x:v>计费</x:v>
      </x:c>
      <x:c r="F315" s="3" t="str">
        <x:v>Web + API + PostgreSQL + Worker</x:v>
      </x:c>
      <x:c r="G315" s="3" t="str">
        <x:v>A 新用户、可控 Credit Day 与计费 fake；准备管理员费率和一次性兑换码；金额 API 以 hundredths 计。</x:v>
      </x:c>
      <x:c r="H315" s="3" t="str">
        <x:v>新用户 A；默认 600 Credits</x:v>
      </x:c>
      <x:c r="I315" s="3" t="str">
        <x:v>1. 创建 A
2. 首次读取余额和账本</x:v>
      </x:c>
      <x:c r="J315" s="3" t="str">
        <x:v>1. 立即获得当前 Credit Day 的 600.00
2. daily=600.00、persistent=0.00
3. 分配仅一条</x:v>
      </x:c>
      <x:c r="K315" s="3" t="str">
        <x:v>S01;S19;S24</x:v>
      </x:c>
      <x:c r="L315" s="3" t="str">
        <x:v>实现路径存在，待执行验收</x:v>
      </x:c>
      <x:c r="M315" s="12" t="str">
        <x:v>未执行</x:v>
      </x:c>
      <x:c r="N315" s="12" t="str">
        <x:v>部分步骤证据：E2E-021 通过。完整结果见“E2E执行”。未执行全部原用例步骤，不据此标记整条通过。</x:v>
      </x:c>
      <x:c r="O315" s="12" t="str"/>
      <x:c r="P315" s="12" t="str">
        <x:v>Codex / 2026-09-06 17:21 Asia/Shanghai</x:v>
      </x:c>
    </x:row>
    <x:row r="316" ht="42" customHeight="1">
      <x:c r="A316" s="3" t="str">
        <x:v>CRD-002</x:v>
      </x:c>
      <x:c r="B316" s="3" t="str">
        <x:v>积分与兑换</x:v>
      </x:c>
      <x:c r="C316" s="3" t="str">
        <x:v>读取余额并发不重复分配</x:v>
      </x:c>
      <x:c r="D316" s="3" t="str">
        <x:v>P0</x:v>
      </x:c>
      <x:c r="E316" s="3" t="str">
        <x:v>幂等</x:v>
      </x:c>
      <x:c r="F316" s="3" t="str">
        <x:v>Web + API + PostgreSQL + Worker</x:v>
      </x:c>
      <x:c r="G316" s="3" t="str">
        <x:v>A 新用户、可控 Credit Day 与计费 fake；准备管理员费率和一次性兑换码；金额 API 以 hundredths 计。</x:v>
      </x:c>
      <x:c r="H316" s="3" t="str">
        <x:v>跨午夜后尚未物化当日分配</x:v>
      </x:c>
      <x:c r="I316" s="3" t="str">
        <x:v>1. 并发读余额和提交执行
2. 检查 User/Credit Day 记录</x:v>
      </x:c>
      <x:c r="J316" s="3" t="str">
        <x:v>1. 事务唯一性保证只分配一次
2. 不需要午夜批任务</x:v>
      </x:c>
      <x:c r="K316" s="3" t="str">
        <x:v>S01;S19;S24</x:v>
      </x:c>
      <x:c r="L316" s="3" t="str">
        <x:v>实现路径存在，待执行验收</x:v>
      </x:c>
      <x:c r="M316" s="12" t="str">
        <x:v>未执行</x:v>
      </x:c>
      <x:c r="N316" s="12" t="str"/>
      <x:c r="O316" s="12" t="str"/>
      <x:c r="P316" s="12" t="str"/>
    </x:row>
    <x:row r="317" ht="57" customHeight="1">
      <x:c r="A317" s="3" t="str">
        <x:v>CRD-003</x:v>
      </x:c>
      <x:c r="B317" s="3" t="str">
        <x:v>积分与兑换</x:v>
      </x:c>
      <x:c r="C317" s="3" t="str">
        <x:v>每日余额不结转</x:v>
      </x:c>
      <x:c r="D317" s="3" t="str">
        <x:v>P0</x:v>
      </x:c>
      <x:c r="E317" s="3" t="str">
        <x:v>边界</x:v>
      </x:c>
      <x:c r="F317" s="3" t="str">
        <x:v>Web + API + PostgreSQL + Worker</x:v>
      </x:c>
      <x:c r="G317" s="3" t="str">
        <x:v>A 新用户、可控 Credit Day 与计费 fake；准备管理员费率和一次性兑换码；金额 API 以 hundredths 计。</x:v>
      </x:c>
      <x:c r="H317" s="3" t="str">
        <x:v>今日 daily_remaining=100，persistent=20</x:v>
      </x:c>
      <x:c r="I317" s="3" t="str">
        <x:v>1. 跨到下一 Credit Day
2. 读取余额</x:v>
      </x:c>
      <x:c r="J317" s="3" t="str">
        <x:v>1. 当日额度恢复为配置分配
2. 未用 100 不累加
3. persistent 20 保留</x:v>
      </x:c>
      <x:c r="K317" s="3" t="str">
        <x:v>S01;S19;S24</x:v>
      </x:c>
      <x:c r="L317" s="3" t="str">
        <x:v>实现路径存在，待执行验收</x:v>
      </x:c>
      <x:c r="M317" s="12" t="str">
        <x:v>未执行</x:v>
      </x:c>
      <x:c r="N317" s="12" t="str"/>
      <x:c r="O317" s="12" t="str"/>
      <x:c r="P317" s="12" t="str"/>
    </x:row>
    <x:row r="318" ht="42" customHeight="1">
      <x:c r="A318" s="3" t="str">
        <x:v>CRD-004</x:v>
      </x:c>
      <x:c r="B318" s="3" t="str">
        <x:v>积分与兑换</x:v>
      </x:c>
      <x:c r="C318" s="3" t="str">
        <x:v>先消费日额度后持久积分</x:v>
      </x:c>
      <x:c r="D318" s="3" t="str">
        <x:v>P0</x:v>
      </x:c>
      <x:c r="E318" s="3" t="str">
        <x:v>计费</x:v>
      </x:c>
      <x:c r="F318" s="3" t="str">
        <x:v>Web + API + PostgreSQL + Worker</x:v>
      </x:c>
      <x:c r="G318" s="3" t="str">
        <x:v>A 新用户、可控 Credit Day 与计费 fake；准备管理员费率和一次性兑换码；金额 API 以 hundredths 计。</x:v>
      </x:c>
      <x:c r="H318" s="3" t="str">
        <x:v>daily=2.00，persistent=5.00；消耗 3.00</x:v>
      </x:c>
      <x:c r="I318" s="3" t="str">
        <x:v>1. 执行并结算
2. 检查分项余额和账本</x:v>
      </x:c>
      <x:c r="J318" s="3" t="str">
        <x:v>1. daily=0.00、persistent=4.00、total=4.00
2. 没有优先扣持久余额</x:v>
      </x:c>
      <x:c r="K318" s="3" t="str">
        <x:v>S01;S19;S24</x:v>
      </x:c>
      <x:c r="L318" s="3" t="str">
        <x:v>实现路径存在，待执行验收</x:v>
      </x:c>
      <x:c r="M318" s="12" t="str">
        <x:v>未执行</x:v>
      </x:c>
      <x:c r="N318" s="12" t="str"/>
      <x:c r="O318" s="12" t="str"/>
      <x:c r="P318" s="12" t="str"/>
    </x:row>
    <x:row r="319" ht="57" customHeight="1">
      <x:c r="A319" s="3" t="str">
        <x:v>CRD-005</x:v>
      </x:c>
      <x:c r="B319" s="3" t="str">
        <x:v>积分与兑换</x:v>
      </x:c>
      <x:c r="C319" s="3" t="str">
        <x:v>正余额准入与负余额结算</x:v>
      </x:c>
      <x:c r="D319" s="3" t="str">
        <x:v>P0</x:v>
      </x:c>
      <x:c r="E319" s="3" t="str">
        <x:v>边界</x:v>
      </x:c>
      <x:c r="F319" s="3" t="str">
        <x:v>Web + API + PostgreSQL + Worker</x:v>
      </x:c>
      <x:c r="G319" s="3" t="str">
        <x:v>A 新用户、可控 Credit Day 与计费 fake；准备管理员费率和一次性兑换码；金额 API 以 hundredths 计。</x:v>
      </x:c>
      <x:c r="H319" s="3" t="str">
        <x:v>余额 0.01；实际费用 1.00</x:v>
      </x:c>
      <x:c r="I319" s="3" t="str">
        <x:v>1. 开始一次执行并结算
2. 尝试开始下一次</x:v>
      </x:c>
      <x:c r="J319" s="3" t="str">
        <x:v>1. 第一次可开始且余额可变 -0.99
2. 下一执行拒绝
3. 不允许无限透支并发</x:v>
      </x:c>
      <x:c r="K319" s="3" t="str">
        <x:v>S01;S19;S24</x:v>
      </x:c>
      <x:c r="L319" s="3" t="str">
        <x:v>实现路径存在，待执行验收</x:v>
      </x:c>
      <x:c r="M319" s="12" t="str">
        <x:v>未执行</x:v>
      </x:c>
      <x:c r="N319" s="12" t="str"/>
      <x:c r="O319" s="12" t="str"/>
      <x:c r="P319" s="12" t="str"/>
    </x:row>
    <x:row r="320" ht="57" customHeight="1">
      <x:c r="A320" s="3" t="str">
        <x:v>CRD-006</x:v>
      </x:c>
      <x:c r="B320" s="3" t="str">
        <x:v>积分与兑换</x:v>
      </x:c>
      <x:c r="C320" s="3" t="str">
        <x:v>零和负余额拒绝交互执行</x:v>
      </x:c>
      <x:c r="D320" s="3" t="str">
        <x:v>P0</x:v>
      </x:c>
      <x:c r="E320" s="3" t="str">
        <x:v>边界</x:v>
      </x:c>
      <x:c r="F320" s="3" t="str">
        <x:v>Web + API + PostgreSQL + Worker</x:v>
      </x:c>
      <x:c r="G320" s="3" t="str">
        <x:v>A 新用户、可控 Credit Day 与计费 fake；准备管理员费率和一次性兑换码；金额 API 以 hundredths 计。</x:v>
      </x:c>
      <x:c r="H320" s="3" t="str">
        <x:v>余额分别 0 和 -1</x:v>
      </x:c>
      <x:c r="I320" s="3" t="str">
        <x:v>1. 发送 Session 消息和手动运行
2. 检查执行与错误</x:v>
      </x:c>
      <x:c r="J320" s="3" t="str">
        <x:v>1. 429 insufficient_credits
2. 不创建新模型执行
3. 显示余额与下次分配时间</x:v>
      </x:c>
      <x:c r="K320" s="3" t="str">
        <x:v>S01;S19;S24</x:v>
      </x:c>
      <x:c r="L320" s="3" t="str">
        <x:v>实现路径存在，待执行验收</x:v>
      </x:c>
      <x:c r="M320" s="12" t="str">
        <x:v>未执行</x:v>
      </x:c>
      <x:c r="N320" s="12" t="str"/>
      <x:c r="O320" s="12" t="str"/>
      <x:c r="P320" s="12" t="str"/>
    </x:row>
    <x:row r="321" ht="42" customHeight="1">
      <x:c r="A321" s="3" t="str">
        <x:v>CRD-007</x:v>
      </x:c>
      <x:c r="B321" s="3" t="str">
        <x:v>积分与兑换</x:v>
      </x:c>
      <x:c r="C321" s="3" t="str">
        <x:v>负余额跨日不被抹除</x:v>
      </x:c>
      <x:c r="D321" s="3" t="str">
        <x:v>P0</x:v>
      </x:c>
      <x:c r="E321" s="3" t="str">
        <x:v>计费</x:v>
      </x:c>
      <x:c r="F321" s="3" t="str">
        <x:v>Web + API + PostgreSQL + Worker</x:v>
      </x:c>
      <x:c r="G321" s="3" t="str">
        <x:v>A 新用户、可控 Credit Day 与计费 fake；准备管理员费率和一次性兑换码；金额 API 以 hundredths 计。</x:v>
      </x:c>
      <x:c r="H321" s="3" t="str">
        <x:v>昨日余额 -20.00；下一分配 600.00</x:v>
      </x:c>
      <x:c r="I321" s="3" t="str">
        <x:v>1. 跨日首次读取余额
2. 查看账本</x:v>
      </x:c>
      <x:c r="J321" s="3" t="str">
        <x:v>1. 前日欠额抵扣新分配
2. 结果 580.00 而非 600.00</x:v>
      </x:c>
      <x:c r="K321" s="3" t="str">
        <x:v>S01;S19;S24</x:v>
      </x:c>
      <x:c r="L321" s="3" t="str">
        <x:v>实现路径存在，待执行验收</x:v>
      </x:c>
      <x:c r="M321" s="12" t="str">
        <x:v>未执行</x:v>
      </x:c>
      <x:c r="N321" s="12" t="str"/>
      <x:c r="O321" s="12" t="str"/>
      <x:c r="P321" s="12" t="str"/>
    </x:row>
    <x:row r="322" ht="57" customHeight="1">
      <x:c r="A322" s="3" t="str">
        <x:v>CRD-008</x:v>
      </x:c>
      <x:c r="B322" s="3" t="str">
        <x:v>积分与兑换</x:v>
      </x:c>
      <x:c r="C322" s="3" t="str">
        <x:v>管理员改日额度次日生效</x:v>
      </x:c>
      <x:c r="D322" s="3" t="str">
        <x:v>P1</x:v>
      </x:c>
      <x:c r="E322" s="3" t="str">
        <x:v>状态</x:v>
      </x:c>
      <x:c r="F322" s="3" t="str">
        <x:v>Web + API + PostgreSQL + Worker</x:v>
      </x:c>
      <x:c r="G322" s="3" t="str">
        <x:v>A 新用户、可控 Credit Day 与计费 fake；准备管理员费率和一次性兑换码；金额 API 以 hundredths 计。</x:v>
      </x:c>
      <x:c r="H322" s="3" t="str">
        <x:v>今日分配 600；管理员改为 100 或 0</x:v>
      </x:c>
      <x:c r="I322" s="3" t="str">
        <x:v>1. 修改配置
2. 当日查询
3. 下一 Credit Day 查询</x:v>
      </x:c>
      <x:c r="J322" s="3" t="str">
        <x:v>1. 当日不重复充值
2. 下日采用新额度
3. 0 停止未来日分配</x:v>
      </x:c>
      <x:c r="K322" s="3" t="str">
        <x:v>S01;S19;S24</x:v>
      </x:c>
      <x:c r="L322" s="3" t="str">
        <x:v>实现路径存在，待执行验收</x:v>
      </x:c>
      <x:c r="M322" s="12" t="str">
        <x:v>未执行</x:v>
      </x:c>
      <x:c r="N322" s="12" t="str"/>
      <x:c r="O322" s="12" t="str"/>
      <x:c r="P322" s="12" t="str"/>
    </x:row>
    <x:row r="323" ht="57" customHeight="1">
      <x:c r="A323" s="3" t="str">
        <x:v>CRD-009</x:v>
      </x:c>
      <x:c r="B323" s="3" t="str">
        <x:v>积分与兑换</x:v>
      </x:c>
      <x:c r="C323" s="3" t="str">
        <x:v>时区变更不重复领积分</x:v>
      </x:c>
      <x:c r="D323" s="3" t="str">
        <x:v>P0</x:v>
      </x:c>
      <x:c r="E323" s="3" t="str">
        <x:v>边界</x:v>
      </x:c>
      <x:c r="F323" s="3" t="str">
        <x:v>Web + API + PostgreSQL + Worker</x:v>
      </x:c>
      <x:c r="G323" s="3" t="str">
        <x:v>A 新用户、可控 Credit Day 与计费 fake；准备管理员费率和一次性兑换码；金额 API 以 hundredths 计。</x:v>
      </x:c>
      <x:c r="H323" s="3" t="str">
        <x:v>A 当前 Asia/Shanghai，当日已领</x:v>
      </x:c>
      <x:c r="I323" s="3" t="str">
        <x:v>1. 改为 UTC 或跨日时区
2. 多次读余额
3. 到当前边界</x:v>
      </x:c>
      <x:c r="J323" s="3" t="str">
        <x:v>1. 新时区下次边界生效
2. 不能通过切时区同日重复恢复额度</x:v>
      </x:c>
      <x:c r="K323" s="3" t="str">
        <x:v>S01;S19;S24</x:v>
      </x:c>
      <x:c r="L323" s="3" t="str">
        <x:v>实现路径存在，待执行验收</x:v>
      </x:c>
      <x:c r="M323" s="12" t="str">
        <x:v>未执行</x:v>
      </x:c>
      <x:c r="N323" s="12" t="str"/>
      <x:c r="O323" s="12" t="str"/>
      <x:c r="P323" s="12" t="str"/>
    </x:row>
    <x:row r="324" ht="57" customHeight="1">
      <x:c r="A324" s="3" t="str">
        <x:v>CRD-010</x:v>
      </x:c>
      <x:c r="B324" s="3" t="str">
        <x:v>积分与兑换</x:v>
      </x:c>
      <x:c r="C324" s="3" t="str">
        <x:v>跨午夜结算归属开始日</x:v>
      </x:c>
      <x:c r="D324" s="3" t="str">
        <x:v>P0</x:v>
      </x:c>
      <x:c r="E324" s="3" t="str">
        <x:v>计费</x:v>
      </x:c>
      <x:c r="F324" s="3" t="str">
        <x:v>Web + API + PostgreSQL + Worker</x:v>
      </x:c>
      <x:c r="G324" s="3" t="str">
        <x:v>A 新用户、可控 Credit Day 与计费 fake；准备管理员费率和一次性兑换码；金额 API 以 hundredths 计。</x:v>
      </x:c>
      <x:c r="H324" s="3" t="str">
        <x:v>23:59 开始，00:01 结算</x:v>
      </x:c>
      <x:c r="I324" s="3" t="str">
        <x:v>1. 执行跨午夜调用
2. 查询两天账本和余额</x:v>
      </x:c>
      <x:c r="J324" s="3" t="str">
        <x:v>1. 消耗归 invocation 开始的 Credit Day
2. 下一分配抵扣负余额
3. 不改历史日归属</x:v>
      </x:c>
      <x:c r="K324" s="3" t="str">
        <x:v>S01;S19;S24</x:v>
      </x:c>
      <x:c r="L324" s="3" t="str">
        <x:v>实现路径存在，待执行验收</x:v>
      </x:c>
      <x:c r="M324" s="12" t="str">
        <x:v>未执行</x:v>
      </x:c>
      <x:c r="N324" s="12" t="str"/>
      <x:c r="O324" s="12" t="str"/>
      <x:c r="P324" s="12" t="str"/>
    </x:row>
    <x:row r="325" ht="57" customHeight="1">
      <x:c r="A325" s="3" t="str">
        <x:v>CRD-011</x:v>
      </x:c>
      <x:c r="B325" s="3" t="str">
        <x:v>积分与兑换</x:v>
      </x:c>
      <x:c r="C325" s="3" t="str">
        <x:v>一万 Token 计一积分</x:v>
      </x:c>
      <x:c r="D325" s="3" t="str">
        <x:v>P0</x:v>
      </x:c>
      <x:c r="E325" s="3" t="str">
        <x:v>计费</x:v>
      </x:c>
      <x:c r="F325" s="3" t="str">
        <x:v>Web + API + PostgreSQL + Worker</x:v>
      </x:c>
      <x:c r="G325" s="3" t="str">
        <x:v>A 新用户、可控 Credit Day 与计费 fake；准备管理员费率和一次性兑换码；金额 API 以 hundredths 计。</x:v>
      </x:c>
      <x:c r="H325" s="3" t="str">
        <x:v>input=4000、output=6000；两 multiplier=1.00</x:v>
      </x:c>
      <x:c r="I325" s="3" t="str">
        <x:v>1. 通过计费 fake 报 Usage
2. 完成执行
3. 查账本</x:v>
      </x:c>
      <x:c r="J325" s="3" t="str">
        <x:v>1. 费用=1.00 Credits
2. API amount_hundredths=100
3. 只结算一次</x:v>
      </x:c>
      <x:c r="K325" s="3" t="str">
        <x:v>S01;S19;S24</x:v>
      </x:c>
      <x:c r="L325" s="3" t="str">
        <x:v>实现路径存在，待执行验收</x:v>
      </x:c>
      <x:c r="M325" s="12" t="str">
        <x:v>未执行</x:v>
      </x:c>
      <x:c r="N325" s="12" t="str"/>
      <x:c r="O325" s="12" t="str"/>
      <x:c r="P325" s="12" t="str"/>
    </x:row>
    <x:row r="326" ht="42" customHeight="1">
      <x:c r="A326" s="3" t="str">
        <x:v>CRD-012</x:v>
      </x:c>
      <x:c r="B326" s="3" t="str">
        <x:v>积分与兑换</x:v>
      </x:c>
      <x:c r="C326" s="3" t="str">
        <x:v>输入输出不同费率</x:v>
      </x:c>
      <x:c r="D326" s="3" t="str">
        <x:v>P0</x:v>
      </x:c>
      <x:c r="E326" s="3" t="str">
        <x:v>计费</x:v>
      </x:c>
      <x:c r="F326" s="3" t="str">
        <x:v>Web + API + PostgreSQL + Worker</x:v>
      </x:c>
      <x:c r="G326" s="3" t="str">
        <x:v>A 新用户、可控 Credit Day 与计费 fake；准备管理员费率和一次性兑换码；金额 API 以 hundredths 计。</x:v>
      </x:c>
      <x:c r="H326" s="3" t="str">
        <x:v>input=3333、output=3333；输入0.5、输出2.0</x:v>
      </x:c>
      <x:c r="I326" s="3" t="str">
        <x:v>1. 冻结费率执行
2. 对照公式计算</x:v>
      </x:c>
      <x:c r="J326" s="3" t="str">
        <x:v>1. 先合并两方向费用再统一四舍五入
2. 费用=0.83 Credits</x:v>
      </x:c>
      <x:c r="K326" s="3" t="str">
        <x:v>S01;S19;S24</x:v>
      </x:c>
      <x:c r="L326" s="3" t="str">
        <x:v>实现路径存在，待执行验收</x:v>
      </x:c>
      <x:c r="M326" s="12" t="str">
        <x:v>未执行</x:v>
      </x:c>
      <x:c r="N326" s="12" t="str"/>
      <x:c r="O326" s="12" t="str"/>
      <x:c r="P326" s="12" t="str"/>
    </x:row>
    <x:row r="327" ht="57" customHeight="1">
      <x:c r="A327" s="3" t="str">
        <x:v>CRD-013</x:v>
      </x:c>
      <x:c r="B327" s="3" t="str">
        <x:v>积分与兑换</x:v>
      </x:c>
      <x:c r="C327" s="3" t="str">
        <x:v>四舍五入与最小非零费用</x:v>
      </x:c>
      <x:c r="D327" s="3" t="str">
        <x:v>P0</x:v>
      </x:c>
      <x:c r="E327" s="3" t="str">
        <x:v>边界</x:v>
      </x:c>
      <x:c r="F327" s="3" t="str">
        <x:v>Web + API + PostgreSQL + Worker</x:v>
      </x:c>
      <x:c r="G327" s="3" t="str">
        <x:v>A 新用户、可控 Credit Day 与计费 fake；准备管理员费率和一次性兑换码；金额 API 以 hundredths 计。</x:v>
      </x:c>
      <x:c r="H327" s="3" t="str">
        <x:v>150 input Tokens；1 input Token；费率1.00</x:v>
      </x:c>
      <x:c r="I327" s="3" t="str">
        <x:v>1. 分别完成两次调用
2. 查费用</x:v>
      </x:c>
      <x:c r="J327" s="3" t="str">
        <x:v>1. 150 Tokens 收0.02
2. 1 Token 收0.01
3. 不向下舍成0</x:v>
      </x:c>
      <x:c r="K327" s="3" t="str">
        <x:v>S01;S19;S24</x:v>
      </x:c>
      <x:c r="L327" s="3" t="str">
        <x:v>实现路径存在，待执行验收</x:v>
      </x:c>
      <x:c r="M327" s="12" t="str">
        <x:v>未执行</x:v>
      </x:c>
      <x:c r="N327" s="12" t="str"/>
      <x:c r="O327" s="12" t="str"/>
      <x:c r="P327" s="12" t="str"/>
    </x:row>
    <x:row r="328" ht="42" customHeight="1">
      <x:c r="A328" s="3" t="str">
        <x:v>CRD-014</x:v>
      </x:c>
      <x:c r="B328" s="3" t="str">
        <x:v>积分与兑换</x:v>
      </x:c>
      <x:c r="C328" s="3" t="str">
        <x:v>明确零 Usage 与免费费率</x:v>
      </x:c>
      <x:c r="D328" s="3" t="str">
        <x:v>P0</x:v>
      </x:c>
      <x:c r="E328" s="3" t="str">
        <x:v>边界</x:v>
      </x:c>
      <x:c r="F328" s="3" t="str">
        <x:v>Web + API + PostgreSQL + Worker</x:v>
      </x:c>
      <x:c r="G328" s="3" t="str">
        <x:v>A 新用户、可控 Credit Day 与计费 fake；准备管理员费率和一次性兑换码；金额 API 以 hundredths 计。</x:v>
      </x:c>
      <x:c r="H328" s="3" t="str">
        <x:v>Known=true且双Token=0；或匹配费率双倍率=0</x:v>
      </x:c>
      <x:c r="I328" s="3" t="str">
        <x:v>1. 执行并结算
2. 比较成功无 Usage 情况</x:v>
      </x:c>
      <x:c r="J328" s="3" t="str">
        <x:v>1. 真实零与显式免费收0.00
2. 不误用10.00 fallback</x:v>
      </x:c>
      <x:c r="K328" s="3" t="str">
        <x:v>S01;S19;S24</x:v>
      </x:c>
      <x:c r="L328" s="3" t="str">
        <x:v>实现路径存在，待执行验收</x:v>
      </x:c>
      <x:c r="M328" s="12" t="str">
        <x:v>未执行</x:v>
      </x:c>
      <x:c r="N328" s="12" t="str"/>
      <x:c r="O328" s="12" t="str"/>
      <x:c r="P328" s="12" t="str"/>
    </x:row>
    <x:row r="329" ht="57" customHeight="1">
      <x:c r="A329" s="3" t="str">
        <x:v>CRD-015</x:v>
      </x:c>
      <x:c r="B329" s="3" t="str">
        <x:v>积分与兑换</x:v>
      </x:c>
      <x:c r="C329" s="3" t="str">
        <x:v>成功缺 Usage 使用固定 fallback</x:v>
      </x:c>
      <x:c r="D329" s="3" t="str">
        <x:v>P0</x:v>
      </x:c>
      <x:c r="E329" s="3" t="str">
        <x:v>计费</x:v>
      </x:c>
      <x:c r="F329" s="3" t="str">
        <x:v>Web + API + PostgreSQL + Worker</x:v>
      </x:c>
      <x:c r="G329" s="3" t="str">
        <x:v>A 新用户、可控 Credit Day 与计费 fake；准备管理员费率和一次性兑换码；金额 API 以 hundredths 计。</x:v>
      </x:c>
      <x:c r="H329" s="3" t="str">
        <x:v>成功 final response，没有 Runtime Token 信息</x:v>
      </x:c>
      <x:c r="I329" s="3" t="str">
        <x:v>1. 执行至成功
2. 查冻结费率和账本</x:v>
      </x:c>
      <x:c r="J329" s="3" t="str">
        <x:v>1. 默认收费10.00
2. 匹配覆盖费率时用其 fallback
3. 不因此宣称 Usage Conformance 已通过</x:v>
      </x:c>
      <x:c r="K329" s="3" t="str">
        <x:v>S01;S19;S24</x:v>
      </x:c>
      <x:c r="L329" s="3" t="str">
        <x:v>实现路径存在，待执行验收</x:v>
      </x:c>
      <x:c r="M329" s="12" t="str">
        <x:v>未执行</x:v>
      </x:c>
      <x:c r="N329" s="12" t="str"/>
      <x:c r="O329" s="12" t="str"/>
      <x:c r="P329" s="12" t="str"/>
    </x:row>
    <x:row r="330" ht="42" customHeight="1">
      <x:c r="A330" s="3" t="str">
        <x:v>CRD-016</x:v>
      </x:c>
      <x:c r="B330" s="3" t="str">
        <x:v>积分与兑换</x:v>
      </x:c>
      <x:c r="C330" s="3" t="str">
        <x:v>失败无 Usage 和无最终响应不收费</x:v>
      </x:c>
      <x:c r="D330" s="3" t="str">
        <x:v>P0</x:v>
      </x:c>
      <x:c r="E330" s="3" t="str">
        <x:v>计费</x:v>
      </x:c>
      <x:c r="F330" s="3" t="str">
        <x:v>Web + API + PostgreSQL + Worker</x:v>
      </x:c>
      <x:c r="G330" s="3" t="str">
        <x:v>A 新用户、可控 Credit Day 与计费 fake；准备管理员费率和一次性兑换码；金额 API 以 hundredths 计。</x:v>
      </x:c>
      <x:c r="H330" s="3" t="str">
        <x:v>准备失败、取消、超时各一例，均无 Usage/final</x:v>
      </x:c>
      <x:c r="I330" s="3" t="str">
        <x:v>1. 结束三次调用
2. 检查账本</x:v>
      </x:c>
      <x:c r="J330" s="3" t="str">
        <x:v>1. 不收 fallback
2. 无测量和 final 不产生有费用的消费记录</x:v>
      </x:c>
      <x:c r="K330" s="3" t="str">
        <x:v>S01;S19;S24</x:v>
      </x:c>
      <x:c r="L330" s="3" t="str">
        <x:v>实现路径存在，待执行验收</x:v>
      </x:c>
      <x:c r="M330" s="12" t="str">
        <x:v>未执行</x:v>
      </x:c>
      <x:c r="N330" s="12" t="str"/>
      <x:c r="O330" s="12" t="str"/>
      <x:c r="P330" s="12" t="str"/>
    </x:row>
    <x:row r="331" ht="42" customHeight="1">
      <x:c r="A331" s="3" t="str">
        <x:v>CRD-017</x:v>
      </x:c>
      <x:c r="B331" s="3" t="str">
        <x:v>积分与兑换</x:v>
      </x:c>
      <x:c r="C331" s="3" t="str">
        <x:v>失败取消超时按实际 Usage 收费</x:v>
      </x:c>
      <x:c r="D331" s="3" t="str">
        <x:v>P0</x:v>
      </x:c>
      <x:c r="E331" s="3" t="str">
        <x:v>计费</x:v>
      </x:c>
      <x:c r="F331" s="3" t="str">
        <x:v>Web + API + PostgreSQL + Worker</x:v>
      </x:c>
      <x:c r="G331" s="3" t="str">
        <x:v>A 新用户、可控 Credit Day 与计费 fake；准备管理员费率和一次性兑换码；金额 API 以 hundredths 计。</x:v>
      </x:c>
      <x:c r="H331" s="3" t="str">
        <x:v>input/output 已上报后失败、取消或超时</x:v>
      </x:c>
      <x:c r="I331" s="3" t="str">
        <x:v>1. 分别终止执行
2. 核对收费</x:v>
      </x:c>
      <x:c r="J331" s="3" t="str">
        <x:v>1. 按已发生 Usage 和冻结费率结算
2. 不是只有成功才收费</x:v>
      </x:c>
      <x:c r="K331" s="3" t="str">
        <x:v>S01;S19;S24</x:v>
      </x:c>
      <x:c r="L331" s="3" t="str">
        <x:v>实现路径存在，待执行验收</x:v>
      </x:c>
      <x:c r="M331" s="12" t="str">
        <x:v>未执行</x:v>
      </x:c>
      <x:c r="N331" s="12" t="str"/>
      <x:c r="O331" s="12" t="str"/>
      <x:c r="P331" s="12" t="str"/>
    </x:row>
    <x:row r="332" ht="42" customHeight="1">
      <x:c r="A332" s="3" t="str">
        <x:v>CRD-018</x:v>
      </x:c>
      <x:c r="B332" s="3" t="str">
        <x:v>积分与兑换</x:v>
      </x:c>
      <x:c r="C332" s="3" t="str">
        <x:v>模型调用前失败不收费</x:v>
      </x:c>
      <x:c r="D332" s="3" t="str">
        <x:v>P0</x:v>
      </x:c>
      <x:c r="E332" s="3" t="str">
        <x:v>边界</x:v>
      </x:c>
      <x:c r="F332" s="3" t="str">
        <x:v>Web + API + PostgreSQL + Worker</x:v>
      </x:c>
      <x:c r="G332" s="3" t="str">
        <x:v>A 新用户、可控 Credit Day 与计费 fake；准备管理员费率和一次性兑换码；金额 API 以 hundredths 计。</x:v>
      </x:c>
      <x:c r="H332" s="3" t="str">
        <x:v>准备失败、依赖验证失败、排队取消、MCP 测试</x:v>
      </x:c>
      <x:c r="I332" s="3" t="str">
        <x:v>1. 分别触发
2. 查看 Provider 调用次数和账本</x:v>
      </x:c>
      <x:c r="J332" s="3" t="str">
        <x:v>1. 无 Provider 调用则无消耗
2. 准备、排队、MCP 测试不扣积分</x:v>
      </x:c>
      <x:c r="K332" s="3" t="str">
        <x:v>S01;S19;S24</x:v>
      </x:c>
      <x:c r="L332" s="3" t="str">
        <x:v>实现路径存在，待执行验收</x:v>
      </x:c>
      <x:c r="M332" s="12" t="str">
        <x:v>未执行</x:v>
      </x:c>
      <x:c r="N332" s="12" t="str"/>
      <x:c r="O332" s="12" t="str"/>
      <x:c r="P332" s="12" t="str"/>
    </x:row>
    <x:row r="333" ht="42" customHeight="1">
      <x:c r="A333" s="3" t="str">
        <x:v>CRD-019</x:v>
      </x:c>
      <x:c r="B333" s="3" t="str">
        <x:v>积分与兑换</x:v>
      </x:c>
      <x:c r="C333" s="3" t="str">
        <x:v>费率精确匹配键</x:v>
      </x:c>
      <x:c r="D333" s="3" t="str">
        <x:v>P0</x:v>
      </x:c>
      <x:c r="E333" s="3" t="str">
        <x:v>计费</x:v>
      </x:c>
      <x:c r="F333" s="3" t="str">
        <x:v>Web + API + PostgreSQL + Worker</x:v>
      </x:c>
      <x:c r="G333" s="3" t="str">
        <x:v>A 新用户、可控 Credit Day 与计费 fake；准备管理员费率和一次性兑换码；金额 API 以 hundredths 计。</x:v>
      </x:c>
      <x:c r="H333" s="3" t="str">
        <x:v>相同 Provider/protocol/model；不同连接名、Endpoint、User、Runtime</x:v>
      </x:c>
      <x:c r="I333" s="3" t="str">
        <x:v>1. 执行多组映射
2. 比较解析费率</x:v>
      </x:c>
      <x:c r="J333" s="3" t="str">
        <x:v>1. 只按 Provider 类型、协议、精确 model ID 匹配
2. 未匹配使用版本化默认</x:v>
      </x:c>
      <x:c r="K333" s="3" t="str">
        <x:v>S01;S19;S24</x:v>
      </x:c>
      <x:c r="L333" s="3" t="str">
        <x:v>实现路径存在，待执行验收</x:v>
      </x:c>
      <x:c r="M333" s="12" t="str">
        <x:v>未执行</x:v>
      </x:c>
      <x:c r="N333" s="12" t="str"/>
      <x:c r="O333" s="12" t="str"/>
      <x:c r="P333" s="12" t="str"/>
    </x:row>
    <x:row r="334" ht="57" customHeight="1">
      <x:c r="A334" s="3" t="str">
        <x:v>CRD-020</x:v>
      </x:c>
      <x:c r="B334" s="3" t="str">
        <x:v>积分与兑换</x:v>
      </x:c>
      <x:c r="C334" s="3" t="str">
        <x:v>费率修订冻结与历史不重算</x:v>
      </x:c>
      <x:c r="D334" s="3" t="str">
        <x:v>P0</x:v>
      </x:c>
      <x:c r="E334" s="3" t="str">
        <x:v>快照</x:v>
      </x:c>
      <x:c r="F334" s="3" t="str">
        <x:v>Web + API + PostgreSQL + Worker</x:v>
      </x:c>
      <x:c r="G334" s="3" t="str">
        <x:v>A 新用户、可控 Credit Day 与计费 fake；准备管理员费率和一次性兑换码；金额 API 以 hundredths 计。</x:v>
      </x:c>
      <x:c r="H334" s="3" t="str">
        <x:v>排队冻结 rate v1；随后管理员创建 v2</x:v>
      </x:c>
      <x:c r="I334" s="3" t="str">
        <x:v>1. 执行旧队列
2. 新建一轮
3. 查看历史费用</x:v>
      </x:c>
      <x:c r="J334" s="3" t="str">
        <x:v>1. 旧队列用v1，新轮用v2
2. 历史消费不重算</x:v>
      </x:c>
      <x:c r="K334" s="3" t="str">
        <x:v>S01;S19;S24</x:v>
      </x:c>
      <x:c r="L334" s="3" t="str">
        <x:v>实现路径存在，待执行验收</x:v>
      </x:c>
      <x:c r="M334" s="12" t="str">
        <x:v>未执行</x:v>
      </x:c>
      <x:c r="N334" s="12" t="str"/>
      <x:c r="O334" s="12" t="str"/>
      <x:c r="P334" s="12" t="str"/>
    </x:row>
    <x:row r="335" ht="42" customHeight="1">
      <x:c r="A335" s="3" t="str">
        <x:v>CRD-021</x:v>
      </x:c>
      <x:c r="B335" s="3" t="str">
        <x:v>积分与兑换</x:v>
      </x:c>
      <x:c r="C335" s="3" t="str">
        <x:v>Native Resume 累计 Usage 转增量</x:v>
      </x:c>
      <x:c r="D335" s="3" t="str">
        <x:v>P0</x:v>
      </x:c>
      <x:c r="E335" s="3" t="str">
        <x:v>计费</x:v>
      </x:c>
      <x:c r="F335" s="3" t="str">
        <x:v>Web + API + PostgreSQL + Worker</x:v>
      </x:c>
      <x:c r="G335" s="3" t="str">
        <x:v>A 新用户、可控 Credit Day 与计费 fake；准备管理员费率和一次性兑换码；金额 API 以 hundredths 计。</x:v>
      </x:c>
      <x:c r="H335" s="3" t="str">
        <x:v>旧累计10000，新累计15000，新增5000</x:v>
      </x:c>
      <x:c r="I335" s="3" t="str">
        <x:v>1. 模拟 resumed Runtime 累计报告
2. 结算本轮</x:v>
      </x:c>
      <x:c r="J335" s="3" t="str">
        <x:v>1. 仅新增5000进入本轮计费
2. 不重复收取历史Token</x:v>
      </x:c>
      <x:c r="K335" s="3" t="str">
        <x:v>S01;S19;S24</x:v>
      </x:c>
      <x:c r="L335" s="3" t="str">
        <x:v>实现路径存在，待执行验收</x:v>
      </x:c>
      <x:c r="M335" s="12" t="str">
        <x:v>未执行</x:v>
      </x:c>
      <x:c r="N335" s="12" t="str"/>
      <x:c r="O335" s="12" t="str"/>
      <x:c r="P335" s="12" t="str"/>
    </x:row>
    <x:row r="336" ht="57" customHeight="1">
      <x:c r="A336" s="3" t="str">
        <x:v>CRD-022</x:v>
      </x:c>
      <x:c r="B336" s="3" t="str">
        <x:v>积分与兑换</x:v>
      </x:c>
      <x:c r="C336" s="3" t="str">
        <x:v>同 User 模型调用串行</x:v>
      </x:c>
      <x:c r="D336" s="3" t="str">
        <x:v>P0</x:v>
      </x:c>
      <x:c r="E336" s="3" t="str">
        <x:v>并发</x:v>
      </x:c>
      <x:c r="F336" s="3" t="str">
        <x:v>Web + API + PostgreSQL + Worker</x:v>
      </x:c>
      <x:c r="G336" s="3" t="str">
        <x:v>A 新用户、可控 Credit Day 与计费 fake；准备管理员费率和一次性兑换码；金额 API 以 hundredths 计。</x:v>
      </x:c>
      <x:c r="H336" s="3" t="str">
        <x:v>A 同时提交两个 Session 和两个 Workflow；余额很低</x:v>
      </x:c>
      <x:c r="I336" s="3" t="str">
        <x:v>1. 并发提交
2. 记录实际模型开始与结算</x:v>
      </x:c>
      <x:c r="J336" s="3" t="str">
        <x:v>1. 每次实际调用串行
2. 每次开始前重查余额
3. 不能并发放大负余额</x:v>
      </x:c>
      <x:c r="K336" s="3" t="str">
        <x:v>S01;S19;S24</x:v>
      </x:c>
      <x:c r="L336" s="3" t="str">
        <x:v>实现路径存在，待执行验收</x:v>
      </x:c>
      <x:c r="M336" s="12" t="str">
        <x:v>未执行</x:v>
      </x:c>
      <x:c r="N336" s="12" t="str"/>
      <x:c r="O336" s="12" t="str"/>
      <x:c r="P336" s="12" t="str"/>
    </x:row>
    <x:row r="337" ht="57" customHeight="1">
      <x:c r="A337" s="3" t="str">
        <x:v>CRD-023</x:v>
      </x:c>
      <x:c r="B337" s="3" t="str">
        <x:v>积分与兑换</x:v>
      </x:c>
      <x:c r="C337" s="3" t="str">
        <x:v>终态与账本原子提交</x:v>
      </x:c>
      <x:c r="D337" s="3" t="str">
        <x:v>P0</x:v>
      </x:c>
      <x:c r="E337" s="3" t="str">
        <x:v>一致性</x:v>
      </x:c>
      <x:c r="F337" s="3" t="str">
        <x:v>Web + API + PostgreSQL + Worker</x:v>
      </x:c>
      <x:c r="G337" s="3" t="str">
        <x:v>A 新用户、可控 Credit Day 与计费 fake；准备管理员费率和一次性兑换码；金额 API 以 hundredths 计。</x:v>
      </x:c>
      <x:c r="H337" s="3" t="str">
        <x:v>在 terminal Stage/ledger/余额更新之间注入 DB 失败</x:v>
      </x:c>
      <x:c r="I337" s="3" t="str">
        <x:v>1. 完成结算并使事务失败
2. Worker 重试
3. 核对三类记录</x:v>
      </x:c>
      <x:c r="J337" s="3" t="str">
        <x:v>1. 全部一起提交或回滚
2. 单 Stage/最终 Stage 与消息终态一致
3. 重试不重复收费</x:v>
      </x:c>
      <x:c r="K337" s="3" t="str">
        <x:v>S01;S19;S24</x:v>
      </x:c>
      <x:c r="L337" s="3" t="str">
        <x:v>实现路径存在，待执行验收</x:v>
      </x:c>
      <x:c r="M337" s="12" t="str">
        <x:v>未执行</x:v>
      </x:c>
      <x:c r="N337" s="12" t="str"/>
      <x:c r="O337" s="12" t="str"/>
      <x:c r="P337" s="12" t="str"/>
    </x:row>
    <x:row r="338" ht="57" customHeight="1">
      <x:c r="A338" s="3" t="str">
        <x:v>CRD-024</x:v>
      </x:c>
      <x:c r="B338" s="3" t="str">
        <x:v>积分与兑换</x:v>
      </x:c>
      <x:c r="C338" s="3" t="str">
        <x:v>团队各成员独立收费总计</x:v>
      </x:c>
      <x:c r="D338" s="3" t="str">
        <x:v>P0</x:v>
      </x:c>
      <x:c r="E338" s="3" t="str">
        <x:v>计费</x:v>
      </x:c>
      <x:c r="F338" s="3" t="str">
        <x:v>Web + API + PostgreSQL + Worker</x:v>
      </x:c>
      <x:c r="G338" s="3" t="str">
        <x:v>A 新用户、可控 Credit Day 与计费 fake；准备管理员费率和一次性兑换码；金额 API 以 hundredths 计。</x:v>
      </x:c>
      <x:c r="H338" s="3" t="str">
        <x:v>M1=0.30、M2=0.70</x:v>
      </x:c>
      <x:c r="I338" s="3" t="str">
        <x:v>1. 运行两成员团队
2. 查 Stage 账本和响应显示</x:v>
      </x:c>
      <x:c r="J338" s="3" t="str">
        <x:v>1. 各 invocation 独立结算
2. 本轮总计1.00
3. 未启动成员不收费</x:v>
      </x:c>
      <x:c r="K338" s="3" t="str">
        <x:v>S01;S19;S24</x:v>
      </x:c>
      <x:c r="L338" s="3" t="str">
        <x:v>实现路径存在，待执行验收</x:v>
      </x:c>
      <x:c r="M338" s="12" t="str">
        <x:v>未执行</x:v>
      </x:c>
      <x:c r="N338" s="12" t="str"/>
      <x:c r="O338" s="12" t="str"/>
      <x:c r="P338" s="12" t="str"/>
    </x:row>
    <x:row r="339" ht="57" customHeight="1">
      <x:c r="A339" s="3" t="str">
        <x:v>CRD-025</x:v>
      </x:c>
      <x:c r="B339" s="3" t="str">
        <x:v>积分与兑换</x:v>
      </x:c>
      <x:c r="C339" s="3" t="str">
        <x:v>兑换码正常兑换</x:v>
      </x:c>
      <x:c r="D339" s="3" t="str">
        <x:v>P0</x:v>
      </x:c>
      <x:c r="E339" s="3" t="str">
        <x:v>正向</x:v>
      </x:c>
      <x:c r="F339" s="3" t="str">
        <x:v>Web + API + PostgreSQL + Worker</x:v>
      </x:c>
      <x:c r="G339" s="3" t="str">
        <x:v>A 新用户、可控 Credit Day 与计费 fake；准备管理员费率和一次性兑换码；金额 API 以 hundredths 计。</x:v>
      </x:c>
      <x:c r="H339" s="3" t="str">
        <x:v>active 单次码，面值50.00</x:v>
      </x:c>
      <x:c r="I339" s="3" t="str">
        <x:v>1. A 在积分面板输入并兑换
2. 刷新余额账本</x:v>
      </x:c>
      <x:c r="J339" s="3" t="str">
        <x:v>1. persistent增加50.00
2. 日额度不改变
3. 记录不可变兑换条目</x:v>
      </x:c>
      <x:c r="K339" s="3" t="str">
        <x:v>S01;S19;S24</x:v>
      </x:c>
      <x:c r="L339" s="3" t="str">
        <x:v>实现路径存在，待执行验收</x:v>
      </x:c>
      <x:c r="M339" s="12" t="str">
        <x:v>未执行</x:v>
      </x:c>
      <x:c r="N339" s="12" t="str">
        <x:v>部分步骤证据：E2E-022 通过。完整结果见“E2E执行”。未执行全部原用例步骤，不据此标记整条通过。</x:v>
      </x:c>
      <x:c r="O339" s="12" t="str"/>
      <x:c r="P339" s="12" t="str">
        <x:v>Codex / 2026-09-06 17:21 Asia/Shanghai</x:v>
      </x:c>
    </x:row>
    <x:row r="340" ht="42" customHeight="1">
      <x:c r="A340" s="3" t="str">
        <x:v>CRD-026</x:v>
      </x:c>
      <x:c r="B340" s="3" t="str">
        <x:v>积分与兑换</x:v>
      </x:c>
      <x:c r="C340" s="3" t="str">
        <x:v>同码跨用户并发兑换</x:v>
      </x:c>
      <x:c r="D340" s="3" t="str">
        <x:v>P0</x:v>
      </x:c>
      <x:c r="E340" s="3" t="str">
        <x:v>并发</x:v>
      </x:c>
      <x:c r="F340" s="3" t="str">
        <x:v>Web + API + PostgreSQL + Worker</x:v>
      </x:c>
      <x:c r="G340" s="3" t="str">
        <x:v>A 新用户、可控 Credit Day 与计费 fake；准备管理员费率和一次性兑换码；金额 API 以 hundredths 计。</x:v>
      </x:c>
      <x:c r="H340" s="3" t="str">
        <x:v>A/B 同时兑换同一 active code</x:v>
      </x:c>
      <x:c r="I340" s="3" t="str">
        <x:v>1. 并发提交
2. 检查余额和记录</x:v>
      </x:c>
      <x:c r="J340" s="3" t="str">
        <x:v>1. 全平台只有一人成功且仅加一次积分
2. 失败者收到统一不可用提示</x:v>
      </x:c>
      <x:c r="K340" s="3" t="str">
        <x:v>S01;S19;S24</x:v>
      </x:c>
      <x:c r="L340" s="3" t="str">
        <x:v>实现路径存在，待执行验收</x:v>
      </x:c>
      <x:c r="M340" s="12" t="str">
        <x:v>未执行</x:v>
      </x:c>
      <x:c r="N340" s="12" t="str"/>
      <x:c r="O340" s="12" t="str"/>
      <x:c r="P340" s="12" t="str"/>
    </x:row>
    <x:row r="341" ht="57" customHeight="1">
      <x:c r="A341" s="3" t="str">
        <x:v>CRD-027</x:v>
      </x:c>
      <x:c r="B341" s="3" t="str">
        <x:v>积分与兑换</x:v>
      </x:c>
      <x:c r="C341" s="3" t="str">
        <x:v>无效已用作废过期码统一错误</x:v>
      </x:c>
      <x:c r="D341" s="3" t="str">
        <x:v>P0</x:v>
      </x:c>
      <x:c r="E341" s="3" t="str">
        <x:v>安全</x:v>
      </x:c>
      <x:c r="F341" s="3" t="str">
        <x:v>Web + API + PostgreSQL + Worker</x:v>
      </x:c>
      <x:c r="G341" s="3" t="str">
        <x:v>A 新用户、可控 Credit Day 与计费 fake；准备管理员费率和一次性兑换码；金额 API 以 hundredths 计。</x:v>
      </x:c>
      <x:c r="H341" s="3" t="str">
        <x:v>随机码、used、void、expired</x:v>
      </x:c>
      <x:c r="I341" s="3" t="str">
        <x:v>1. 逐个兑换
2. 比较用户文案和错误码</x:v>
      </x:c>
      <x:c r="J341" s="3" t="str">
        <x:v>1. 统一 redemption_code_unavailable
2. 不能据此枚举码状态
3. 余额不变</x:v>
      </x:c>
      <x:c r="K341" s="3" t="str">
        <x:v>S01;S19;S24</x:v>
      </x:c>
      <x:c r="L341" s="3" t="str">
        <x:v>实现路径存在，待执行验收</x:v>
      </x:c>
      <x:c r="M341" s="12" t="str">
        <x:v>未执行</x:v>
      </x:c>
      <x:c r="N341" s="12" t="str">
        <x:v>部分步骤证据：E2E-022 通过；E2E-041 通过。完整结果见“E2E执行”。未执行全部原用例步骤，不据此标记整条通过。</x:v>
      </x:c>
      <x:c r="O341" s="12" t="str"/>
      <x:c r="P341" s="12" t="str">
        <x:v>Codex / 2026-09-06 17:21 Asia/Shanghai</x:v>
      </x:c>
    </x:row>
    <x:row r="342" ht="72" customHeight="1">
      <x:c r="A342" s="3" t="str">
        <x:v>CRD-028</x:v>
      </x:c>
      <x:c r="B342" s="3" t="str">
        <x:v>积分与兑换</x:v>
      </x:c>
      <x:c r="C342" s="3" t="str">
        <x:v>批量生成数量与一次性导出</x:v>
      </x:c>
      <x:c r="D342" s="3" t="str">
        <x:v>P1</x:v>
      </x:c>
      <x:c r="E342" s="3" t="str">
        <x:v>边界</x:v>
      </x:c>
      <x:c r="F342" s="3" t="str">
        <x:v>Web + API + PostgreSQL + Worker</x:v>
      </x:c>
      <x:c r="G342" s="3" t="str">
        <x:v>A 新用户、可控 Credit Day 与计费 fake；准备管理员费率和一次性兑换码；金额 API 以 hundredths 计。</x:v>
      </x:c>
      <x:c r="H342" s="3" t="str">
        <x:v>count=1、100、0、101；固定面值和可选到期</x:v>
      </x:c>
      <x:c r="I342" s="3" t="str">
        <x:v>1. 管理员分别生成
2. 复制或下载 CSV
3. 刷新管理列表</x:v>
      </x:c>
      <x:c r="J342" s="3" t="str">
        <x:v>1. 1–100允许
2. 0/101拒绝
3. 明文仅创建时显示
4. 列表使用安全标识</x:v>
      </x:c>
      <x:c r="K342" s="3" t="str">
        <x:v>S01;S19;S24</x:v>
      </x:c>
      <x:c r="L342" s="3" t="str">
        <x:v>实现路径存在，待执行验收</x:v>
      </x:c>
      <x:c r="M342" s="12" t="str">
        <x:v>未执行</x:v>
      </x:c>
      <x:c r="N342" s="12" t="str"/>
      <x:c r="O342" s="12" t="str"/>
      <x:c r="P342" s="12" t="str"/>
    </x:row>
    <x:row r="343" ht="57" customHeight="1">
      <x:c r="A343" s="3" t="str">
        <x:v>CRD-029</x:v>
      </x:c>
      <x:c r="B343" s="3" t="str">
        <x:v>积分与兑换</x:v>
      </x:c>
      <x:c r="C343" s="3" t="str">
        <x:v>兑换码作废</x:v>
      </x:c>
      <x:c r="D343" s="3" t="str">
        <x:v>P1</x:v>
      </x:c>
      <x:c r="E343" s="3" t="str">
        <x:v>状态</x:v>
      </x:c>
      <x:c r="F343" s="3" t="str">
        <x:v>Web + API + PostgreSQL + Worker</x:v>
      </x:c>
      <x:c r="G343" s="3" t="str">
        <x:v>A 新用户、可控 Credit Day 与计费 fake；准备管理员费率和一次性兑换码；金额 API 以 hundredths 计。</x:v>
      </x:c>
      <x:c r="H343" s="3" t="str">
        <x:v>未使用 active code</x:v>
      </x:c>
      <x:c r="I343" s="3" t="str">
        <x:v>1. 管理员作废
2. 用户尝试兑换
3. 再读管理列表</x:v>
      </x:c>
      <x:c r="J343" s="3" t="str">
        <x:v>1. 显示 void 且不可兑换
2. 不泄漏已保存明文</x:v>
      </x:c>
      <x:c r="K343" s="3" t="str">
        <x:v>S01;S19;S24</x:v>
      </x:c>
      <x:c r="L343" s="3" t="str">
        <x:v>实现路径存在，待执行验收</x:v>
      </x:c>
      <x:c r="M343" s="12" t="str">
        <x:v>未执行</x:v>
      </x:c>
      <x:c r="N343" s="12" t="str">
        <x:v>部分步骤证据：E2E-041 通过。完整结果见“E2E执行”。未执行全部原用例步骤，不据此标记整条通过。</x:v>
      </x:c>
      <x:c r="O343" s="12" t="str"/>
      <x:c r="P343" s="12" t="str">
        <x:v>Codex / 2026-09-06 17:21 Asia/Shanghai</x:v>
      </x:c>
    </x:row>
    <x:row r="344" ht="57" customHeight="1">
      <x:c r="A344" s="3" t="str">
        <x:v>CRD-030</x:v>
      </x:c>
      <x:c r="B344" s="3" t="str">
        <x:v>积分与兑换</x:v>
      </x:c>
      <x:c r="C344" s="3" t="str">
        <x:v>持久余额调整必须有理由</x:v>
      </x:c>
      <x:c r="D344" s="3" t="str">
        <x:v>P0</x:v>
      </x:c>
      <x:c r="E344" s="3" t="str">
        <x:v>审计</x:v>
      </x:c>
      <x:c r="F344" s="3" t="str">
        <x:v>Web + API + PostgreSQL + Worker</x:v>
      </x:c>
      <x:c r="G344" s="3" t="str">
        <x:v>A 新用户、可控 Credit Day 与计费 fake；准备管理员费率和一次性兑换码；金额 API 以 hundredths 计。</x:v>
      </x:c>
      <x:c r="H344" s="3" t="str">
        <x:v>+20.00、-5.00；空白理由；相同 request_id</x:v>
      </x:c>
      <x:c r="I344" s="3" t="str">
        <x:v>1. 先提交空理由
2. 再合法调账
3. 重放 request_id</x:v>
      </x:c>
      <x:c r="J344" s="3" t="str">
        <x:v>1. 空理由拒绝
2. 合法调整有不可变记录
3. 幂等重放不重复加减</x:v>
      </x:c>
      <x:c r="K344" s="3" t="str">
        <x:v>S01;S19;S24</x:v>
      </x:c>
      <x:c r="L344" s="3" t="str">
        <x:v>实现路径存在，待执行验收</x:v>
      </x:c>
      <x:c r="M344" s="12" t="str">
        <x:v>未执行</x:v>
      </x:c>
      <x:c r="N344" s="12" t="str"/>
      <x:c r="O344" s="12" t="str"/>
      <x:c r="P344" s="12" t="str"/>
    </x:row>
    <x:row r="345" ht="57" customHeight="1">
      <x:c r="A345" s="3" t="str">
        <x:v>CRD-031</x:v>
      </x:c>
      <x:c r="B345" s="3" t="str">
        <x:v>积分与兑换</x:v>
      </x:c>
      <x:c r="C345" s="3" t="str">
        <x:v>用户完整账本分页</x:v>
      </x:c>
      <x:c r="D345" s="3" t="str">
        <x:v>P1</x:v>
      </x:c>
      <x:c r="E345" s="3" t="str">
        <x:v>展示</x:v>
      </x:c>
      <x:c r="F345" s="3" t="str">
        <x:v>Web + API + PostgreSQL + Worker</x:v>
      </x:c>
      <x:c r="G345" s="3" t="str">
        <x:v>A 新用户、可控 Credit Day 与计费 fake；准备管理员费率和一次性兑换码；金额 API 以 hundredths 计。</x:v>
      </x:c>
      <x:c r="H345" s="3" t="str">
        <x:v>账本记录超过单页，含分配/兑换/调整/消耗</x:v>
      </x:c>
      <x:c r="I345" s="3" t="str">
        <x:v>1. 打开积分面板
2. 连续加载后续 cursor
3. 对照顺序</x:v>
      </x:c>
      <x:c r="J345" s="3" t="str">
        <x:v>1. 完整按时间展示自己的记录
2. 无遗漏重复
3. 余额投影一致</x:v>
      </x:c>
      <x:c r="K345" s="3" t="str">
        <x:v>S01;S19;S24</x:v>
      </x:c>
      <x:c r="L345" s="3" t="str">
        <x:v>实现路径存在，待执行验收</x:v>
      </x:c>
      <x:c r="M345" s="12" t="str">
        <x:v>未执行</x:v>
      </x:c>
      <x:c r="N345" s="12" t="str">
        <x:v>部分步骤证据：E2E-021 通过。完整结果见“E2E执行”。未执行全部原用例步骤，不据此标记整条通过。</x:v>
      </x:c>
      <x:c r="O345" s="12" t="str"/>
      <x:c r="P345" s="12" t="str">
        <x:v>Codex / 2026-09-06 17:21 Asia/Shanghai</x:v>
      </x:c>
    </x:row>
    <x:row r="346" ht="42" customHeight="1">
      <x:c r="A346" s="3" t="str">
        <x:v>CRD-032</x:v>
      </x:c>
      <x:c r="B346" s="3" t="str">
        <x:v>积分与兑换</x:v>
      </x:c>
      <x:c r="C346" s="3" t="str">
        <x:v>管理员账本信息最小化</x:v>
      </x:c>
      <x:c r="D346" s="3" t="str">
        <x:v>P0</x:v>
      </x:c>
      <x:c r="E346" s="3" t="str">
        <x:v>权限</x:v>
      </x:c>
      <x:c r="F346" s="3" t="str">
        <x:v>Web + API + PostgreSQL + Worker</x:v>
      </x:c>
      <x:c r="G346" s="3" t="str">
        <x:v>A 新用户、可控 Credit Day 与计费 fake；准备管理员费率和一次性兑换码；金额 API 以 hundredths 计。</x:v>
      </x:c>
      <x:c r="H346" s="3" t="str">
        <x:v>Admin 查看 A 账户和账本相关API</x:v>
      </x:c>
      <x:c r="I346" s="3" t="str">
        <x:v>1. 读取账户额度、兑换、调整
2. 尝试执行级消耗详情</x:v>
      </x:c>
      <x:c r="J346" s="3" t="str">
        <x:v>1. 可看账号余额和今日用量
2. 不能看 A Session/Workflow/模型/Token 消耗详情</x:v>
      </x:c>
      <x:c r="K346" s="3" t="str">
        <x:v>S01;S19;S24</x:v>
      </x:c>
      <x:c r="L346" s="3" t="str">
        <x:v>实现路径存在，待执行验收</x:v>
      </x:c>
      <x:c r="M346" s="12" t="str">
        <x:v>未执行</x:v>
      </x:c>
      <x:c r="N346" s="12" t="str"/>
      <x:c r="O346" s="12" t="str"/>
      <x:c r="P346" s="12" t="str"/>
    </x:row>
    <x:row r="347" ht="42" customHeight="1">
      <x:c r="A347" s="3" t="str">
        <x:v>CRD-033</x:v>
      </x:c>
      <x:c r="B347" s="3" t="str">
        <x:v>积分与兑换</x:v>
      </x:c>
      <x:c r="C347" s="3" t="str">
        <x:v>头像积分与终态总费用展示</x:v>
      </x:c>
      <x:c r="D347" s="3" t="str">
        <x:v>P1</x:v>
      </x:c>
      <x:c r="E347" s="3" t="str">
        <x:v>展示</x:v>
      </x:c>
      <x:c r="F347" s="3" t="str">
        <x:v>Web + API + PostgreSQL + Worker</x:v>
      </x:c>
      <x:c r="G347" s="3" t="str">
        <x:v>A 新用户、可控 Credit Day 与计费 fake；准备管理员费率和一次性兑换码；金额 API 以 hundredths 计。</x:v>
      </x:c>
      <x:c r="H347" s="3" t="str">
        <x:v>成功、失败、取消、0费用和团队消息</x:v>
      </x:c>
      <x:c r="I347" s="3" t="str">
        <x:v>1. 打开头像积分面板
2. 查看每种终态消息</x:v>
      </x:c>
      <x:c r="J347" s="3" t="str">
        <x:v>1. 面板含总/日剩余/持久/今日消耗/下次分配
2. 对话仅显示共消耗总数，不展示Token细账</x:v>
      </x:c>
      <x:c r="K347" s="3" t="str">
        <x:v>S01;S19;S24</x:v>
      </x:c>
      <x:c r="L347" s="3" t="str">
        <x:v>实现路径存在，待执行验收</x:v>
      </x:c>
      <x:c r="M347" s="12" t="str">
        <x:v>未执行</x:v>
      </x:c>
      <x:c r="N347" s="12" t="str"/>
      <x:c r="O347" s="12" t="str"/>
      <x:c r="P347" s="12" t="str"/>
    </x:row>
    <x:row r="348" ht="57" customHeight="1">
      <x:c r="A348" s="3" t="str">
        <x:v>SEC-001</x:v>
      </x:c>
      <x:c r="B348" s="3" t="str">
        <x:v>安全与跨层契约</x:v>
      </x:c>
      <x:c r="C348" s="3" t="str">
        <x:v>所有私有资源跨用户隔离</x:v>
      </x:c>
      <x:c r="D348" s="3" t="str">
        <x:v>P0</x:v>
      </x:c>
      <x:c r="E348" s="3" t="str">
        <x:v>权限</x:v>
      </x:c>
      <x:c r="F348" s="3" t="str">
        <x:v>单元/HTTP；容器网络行为需 E2</x:v>
      </x:c>
      <x:c r="G348" s="3" t="str">
        <x:v>全部使用专用 canary Secret、恶意路径和隔离测试环境；记录调用是否真实发生。</x:v>
      </x:c>
      <x:c r="H348" s="3" t="str">
        <x:v>B 的 Session/Workflow/Run/Expert/Team/Skill/MCP/Attachment/Approval ID</x:v>
      </x:c>
      <x:c r="I348" s="3" t="str">
        <x:v>1. A 逐类执行读写删及下载
2. 对比不存在 ID 响应</x:v>
      </x:c>
      <x:c r="J348" s="3" t="str">
        <x:v>1. 服务端统一 owner 校验
2. 跨 owner 返回不暴露存在性的404或相应权限拒绝
3. 无内容泄漏</x:v>
      </x:c>
      <x:c r="K348" s="3" t="str">
        <x:v>S01;S08;S14;S16;S20</x:v>
      </x:c>
      <x:c r="L348" s="3" t="str">
        <x:v>实现路径存在，待执行验收</x:v>
      </x:c>
      <x:c r="M348" s="12" t="str">
        <x:v>未执行</x:v>
      </x:c>
      <x:c r="N348" s="12" t="str">
        <x:v>部分步骤证据：E2E-008 通过；E2E-010 通过；E2E-014 通过。完整结果见“E2E执行”。未执行全部原用例步骤，不据此标记整条通过。</x:v>
      </x:c>
      <x:c r="O348" s="12" t="str"/>
      <x:c r="P348" s="12" t="str">
        <x:v>Codex / 2026-09-06 17:21 Asia/Shanghai</x:v>
      </x:c>
    </x:row>
    <x:row r="349" ht="57" customHeight="1">
      <x:c r="A349" s="3" t="str">
        <x:v>SEC-002</x:v>
      </x:c>
      <x:c r="B349" s="3" t="str">
        <x:v>安全与跨层契约</x:v>
      </x:c>
      <x:c r="C349" s="3" t="str">
        <x:v>Secret 多通道精确脱敏</x:v>
      </x:c>
      <x:c r="D349" s="3" t="str">
        <x:v>P0</x:v>
      </x:c>
      <x:c r="E349" s="3" t="str">
        <x:v>安全</x:v>
      </x:c>
      <x:c r="F349" s="3" t="str">
        <x:v>单元/HTTP；容器网络行为需 E2</x:v>
      </x:c>
      <x:c r="G349" s="3" t="str">
        <x:v>全部使用专用 canary Secret、恶意路径和隔离测试环境；记录调用是否真实发生。</x:v>
      </x:c>
      <x:c r="H349" s="3" t="str">
        <x:v>两个 canary；含特殊字符和跨流分块字节</x:v>
      </x:c>
      <x:c r="I349" s="3" t="str">
        <x:v>1. 输出到stdout/stderr/event/final/file/snapshot
2. 完成并扫描持久化内容</x:v>
      </x:c>
      <x:c r="J349" s="3" t="str">
        <x:v>1. 使用同一组精确值脱敏
2. 跨 chunk 不漏值
3. 无凭据出现在普通结果</x:v>
      </x:c>
      <x:c r="K349" s="3" t="str">
        <x:v>S01;S08;S14;S16;S20</x:v>
      </x:c>
      <x:c r="L349" s="3" t="str">
        <x:v>实现路径存在，待执行验收</x:v>
      </x:c>
      <x:c r="M349" s="12" t="str">
        <x:v>未执行</x:v>
      </x:c>
      <x:c r="N349" s="12" t="str"/>
      <x:c r="O349" s="12" t="str"/>
      <x:c r="P349" s="12" t="str"/>
    </x:row>
    <x:row r="350" ht="57" customHeight="1">
      <x:c r="A350" s="3" t="str">
        <x:v>SEC-003</x:v>
      </x:c>
      <x:c r="B350" s="3" t="str">
        <x:v>安全与跨层契约</x:v>
      </x:c>
      <x:c r="C350" s="3" t="str">
        <x:v>凭据仅单 Run 临时环境</x:v>
      </x:c>
      <x:c r="D350" s="3" t="str">
        <x:v>P0</x:v>
      </x:c>
      <x:c r="E350" s="3" t="str">
        <x:v>安全</x:v>
      </x:c>
      <x:c r="F350" s="3" t="str">
        <x:v>单元/HTTP；容器网络行为需 E2</x:v>
      </x:c>
      <x:c r="G350" s="3" t="str">
        <x:v>全部使用专用 canary Secret、恶意路径和隔离测试环境；记录调用是否真实发生。</x:v>
      </x:c>
      <x:c r="H350" s="3" t="str">
        <x:v>模型Key、MCP Token、Git Secret、飞书Token</x:v>
      </x:c>
      <x:c r="I350" s="3" t="str">
        <x:v>1. 分别完成/失败/取消/超时执行
2. 查看临时文件与后续Run</x:v>
      </x:c>
      <x:c r="J350" s="3" t="str">
        <x:v>1. 目录0700/文件0600
2. 及时幂等清理
3. 下一Run拿不到上轮凭据</x:v>
      </x:c>
      <x:c r="K350" s="3" t="str">
        <x:v>S01;S08;S14;S16;S20</x:v>
      </x:c>
      <x:c r="L350" s="3" t="str">
        <x:v>实现路径存在，待执行验收</x:v>
      </x:c>
      <x:c r="M350" s="12" t="str">
        <x:v>未执行</x:v>
      </x:c>
      <x:c r="N350" s="12" t="str"/>
      <x:c r="O350" s="12" t="str"/>
      <x:c r="P350" s="12" t="str"/>
    </x:row>
    <x:row r="351" ht="57" customHeight="1">
      <x:c r="A351" s="3" t="str">
        <x:v>SEC-004</x:v>
      </x:c>
      <x:c r="B351" s="3" t="str">
        <x:v>安全与跨层契约</x:v>
      </x:c>
      <x:c r="C351" s="3" t="str">
        <x:v>命令参数不拼 Shell</x:v>
      </x:c>
      <x:c r="D351" s="3" t="str">
        <x:v>P0</x:v>
      </x:c>
      <x:c r="E351" s="3" t="str">
        <x:v>安全</x:v>
      </x:c>
      <x:c r="F351" s="3" t="str">
        <x:v>单元/HTTP；容器网络行为需 E2</x:v>
      </x:c>
      <x:c r="G351" s="3" t="str">
        <x:v>全部使用专用 canary Secret、恶意路径和隔离测试环境；记录调用是否真实发生。</x:v>
      </x:c>
      <x:c r="H351" s="3" t="str">
        <x:v>用户文本含 ;、反引号、$()、引号和换行</x:v>
      </x:c>
      <x:c r="I351" s="3" t="str">
        <x:v>1. 提交给模型/Skill/Git配置相应合法输入
2. 记录实际 argv</x:v>
      </x:c>
      <x:c r="J351" s="3" t="str">
        <x:v>1. 可执行文件与参数数组调用
2. 用户字符串只作值/stdin/文件
3. 不执行注入片段</x:v>
      </x:c>
      <x:c r="K351" s="3" t="str">
        <x:v>S01;S08;S14;S16;S20</x:v>
      </x:c>
      <x:c r="L351" s="3" t="str">
        <x:v>实现路径存在，待执行验收</x:v>
      </x:c>
      <x:c r="M351" s="12" t="str">
        <x:v>未执行</x:v>
      </x:c>
      <x:c r="N351" s="12" t="str"/>
      <x:c r="O351" s="12" t="str"/>
      <x:c r="P351" s="12" t="str"/>
    </x:row>
    <x:row r="352" ht="42" customHeight="1">
      <x:c r="A352" s="3" t="str">
        <x:v>SEC-005</x:v>
      </x:c>
      <x:c r="B352" s="3" t="str">
        <x:v>安全与跨层契约</x:v>
      </x:c>
      <x:c r="C352" s="3" t="str">
        <x:v>事件 Run ID 和序号校验</x:v>
      </x:c>
      <x:c r="D352" s="3" t="str">
        <x:v>P0</x:v>
      </x:c>
      <x:c r="E352" s="3" t="str">
        <x:v>契约</x:v>
      </x:c>
      <x:c r="F352" s="3" t="str">
        <x:v>单元/HTTP；容器网络行为需 E2</x:v>
      </x:c>
      <x:c r="G352" s="3" t="str">
        <x:v>全部使用专用 canary Secret、恶意路径和隔离测试环境；记录调用是否真实发生。</x:v>
      </x:c>
      <x:c r="H352" s="3" t="str">
        <x:v>错误Run ID、Sequence=0、重复、倒退</x:v>
      </x:c>
      <x:c r="I352" s="3" t="str">
        <x:v>1. 向 ContractSink 提交每组事件
2. 观察执行与存储</x:v>
      </x:c>
      <x:c r="J352" s="3" t="str">
        <x:v>1. 不合约事件拒绝
2. 序号从1严格递增且属于当前Run</x:v>
      </x:c>
      <x:c r="K352" s="3" t="str">
        <x:v>S01;S08;S14;S16;S20</x:v>
      </x:c>
      <x:c r="L352" s="3" t="str">
        <x:v>实现路径存在，待执行验收</x:v>
      </x:c>
      <x:c r="M352" s="12" t="str">
        <x:v>未执行</x:v>
      </x:c>
      <x:c r="N352" s="12" t="str"/>
      <x:c r="O352" s="12" t="str"/>
      <x:c r="P352" s="12" t="str"/>
    </x:row>
    <x:row r="353" ht="42" customHeight="1">
      <x:c r="A353" s="3" t="str">
        <x:v>SEC-006</x:v>
      </x:c>
      <x:c r="B353" s="3" t="str">
        <x:v>安全与跨层契约</x:v>
      </x:c>
      <x:c r="C353" s="3" t="str">
        <x:v>唯一终态与终态后禁止发布</x:v>
      </x:c>
      <x:c r="D353" s="3" t="str">
        <x:v>P0</x:v>
      </x:c>
      <x:c r="E353" s="3" t="str">
        <x:v>契约</x:v>
      </x:c>
      <x:c r="F353" s="3" t="str">
        <x:v>单元/HTTP；容器网络行为需 E2</x:v>
      </x:c>
      <x:c r="G353" s="3" t="str">
        <x:v>全部使用专用 canary Secret、恶意路径和隔离测试环境；记录调用是否真实发生。</x:v>
      </x:c>
      <x:c r="H353" s="3" t="str">
        <x:v>两个终态；终态后delta；取消后event</x:v>
      </x:c>
      <x:c r="I353" s="3" t="str">
        <x:v>1. 依次提交非法序列
2. 观察Sink</x:v>
      </x:c>
      <x:c r="J353" s="3" t="str">
        <x:v>1. 恰有一个终态
2. 终态或取消后不再持久化新事件</x:v>
      </x:c>
      <x:c r="K353" s="3" t="str">
        <x:v>S01;S08;S14;S16;S20</x:v>
      </x:c>
      <x:c r="L353" s="3" t="str">
        <x:v>实现路径存在，待执行验收</x:v>
      </x:c>
      <x:c r="M353" s="12" t="str">
        <x:v>未执行</x:v>
      </x:c>
      <x:c r="N353" s="12" t="str"/>
      <x:c r="O353" s="12" t="str"/>
      <x:c r="P353" s="12" t="str"/>
    </x:row>
    <x:row r="354" ht="42" customHeight="1">
      <x:c r="A354" s="3" t="str">
        <x:v>SEC-007</x:v>
      </x:c>
      <x:c r="B354" s="3" t="str">
        <x:v>安全与跨层契约</x:v>
      </x:c>
      <x:c r="C354" s="3" t="str">
        <x:v>Event Sink 失败停止执行</x:v>
      </x:c>
      <x:c r="D354" s="3" t="str">
        <x:v>P0</x:v>
      </x:c>
      <x:c r="E354" s="3" t="str">
        <x:v>故障</x:v>
      </x:c>
      <x:c r="F354" s="3" t="str">
        <x:v>单元/HTTP；容器网络行为需 E2</x:v>
      </x:c>
      <x:c r="G354" s="3" t="str">
        <x:v>全部使用专用 canary Secret、恶意路径和隔离测试环境；记录调用是否真实发生。</x:v>
      </x:c>
      <x:c r="H354" s="3" t="str">
        <x:v>记录事件时注入存储失败</x:v>
      </x:c>
      <x:c r="I354" s="3" t="str">
        <x:v>1. 执行Runtime并令Sink失败
2. 检查剩余事件与进程</x:v>
      </x:c>
      <x:c r="J354" s="3" t="str">
        <x:v>1. 执行立即停止
2. 不继续产生无审计的外部动作</x:v>
      </x:c>
      <x:c r="K354" s="3" t="str">
        <x:v>S01;S08;S14;S16;S20</x:v>
      </x:c>
      <x:c r="L354" s="3" t="str">
        <x:v>实现路径存在，待执行验收</x:v>
      </x:c>
      <x:c r="M354" s="12" t="str">
        <x:v>未执行</x:v>
      </x:c>
      <x:c r="N354" s="12" t="str"/>
      <x:c r="O354" s="12" t="str"/>
      <x:c r="P354" s="12" t="str"/>
    </x:row>
    <x:row r="355" ht="42" customHeight="1">
      <x:c r="A355" s="3" t="str">
        <x:v>SEC-008</x:v>
      </x:c>
      <x:c r="B355" s="3" t="str">
        <x:v>安全与跨层契约</x:v>
      </x:c>
      <x:c r="C355" s="3" t="str">
        <x:v>Sandbox 配置漂移拒绝</x:v>
      </x:c>
      <x:c r="D355" s="3" t="str">
        <x:v>P0</x:v>
      </x:c>
      <x:c r="E355" s="3" t="str">
        <x:v>隔离</x:v>
      </x:c>
      <x:c r="F355" s="3" t="str">
        <x:v>单元/HTTP；容器网络行为需 E2</x:v>
      </x:c>
      <x:c r="G355" s="3" t="str">
        <x:v>全部使用专用 canary Secret、恶意路径和隔离测试环境；记录调用是否真实发生。</x:v>
      </x:c>
      <x:c r="H355" s="3" t="str">
        <x:v>tag镜像、root、非runsc、可写Rootfs、缺资源限制各一例</x:v>
      </x:c>
      <x:c r="I355" s="3" t="str">
        <x:v>1. 逐项修改测试Sandbox配置
2. 启动或暖复用</x:v>
      </x:c>
      <x:c r="J355" s="3" t="str">
        <x:v>1. 启动前拒绝不安全配置
2. 不静默降级普通Docker</x:v>
      </x:c>
      <x:c r="K355" s="3" t="str">
        <x:v>S01;S08;S14;S16;S20</x:v>
      </x:c>
      <x:c r="L355" s="3" t="str">
        <x:v>需 Linux + runsc 真实验证，未执行</x:v>
      </x:c>
      <x:c r="M355" s="12" t="str">
        <x:v>未执行</x:v>
      </x:c>
      <x:c r="N355" s="12" t="str">
        <x:v>部分步骤证据：E2E-034 阻塞。完整结果见“E2E执行”。未执行全部原用例步骤，不据此标记整条通过。</x:v>
      </x:c>
      <x:c r="O355" s="12" t="str"/>
      <x:c r="P355" s="12" t="str">
        <x:v>Codex / 2026-09-06 17:21 Asia/Shanghai</x:v>
      </x:c>
    </x:row>
    <x:row r="356" ht="57" customHeight="1">
      <x:c r="A356" s="3" t="str">
        <x:v>SEC-009</x:v>
      </x:c>
      <x:c r="B356" s="3" t="str">
        <x:v>安全与跨层契约</x:v>
      </x:c>
      <x:c r="C356" s="3" t="str">
        <x:v>固定 RepoDigest 非root 只读挂载</x:v>
      </x:c>
      <x:c r="D356" s="3" t="str">
        <x:v>P0</x:v>
      </x:c>
      <x:c r="E356" s="3" t="str">
        <x:v>隔离</x:v>
      </x:c>
      <x:c r="F356" s="3" t="str">
        <x:v>单元/HTTP；容器网络行为需 E2</x:v>
      </x:c>
      <x:c r="G356" s="3" t="str">
        <x:v>全部使用专用 canary Secret、恶意路径和隔离测试环境；记录调用是否真实发生。</x:v>
      </x:c>
      <x:c r="H356" s="3" t="str">
        <x:v>合法Sandbox与Credential/attachment mount</x:v>
      </x:c>
      <x:c r="I356" s="3" t="str">
        <x:v>1. 启动真实Runtime
2. 读取有效配置并尝试写受控挂载</x:v>
      </x:c>
      <x:c r="J356" s="3" t="str">
        <x:v>1. 使用指定Digest/runsc/非root
2. 只读Rootfs与凭据/附件生效
3. Workspace为受控可写区</x:v>
      </x:c>
      <x:c r="K356" s="3" t="str">
        <x:v>S01;S08;S14;S16;S20</x:v>
      </x:c>
      <x:c r="L356" s="3" t="str">
        <x:v>需 Linux + runsc 真实验证，未执行</x:v>
      </x:c>
      <x:c r="M356" s="12" t="str">
        <x:v>未执行</x:v>
      </x:c>
      <x:c r="N356" s="12" t="str">
        <x:v>部分步骤证据：E2E-034 阻塞。完整结果见“E2E执行”。未执行全部原用例步骤，不据此标记整条通过。</x:v>
      </x:c>
      <x:c r="O356" s="12" t="str"/>
      <x:c r="P356" s="12" t="str">
        <x:v>Codex / 2026-09-06 17:21 Asia/Shanghai</x:v>
      </x:c>
    </x:row>
    <x:row r="357" ht="42" customHeight="1">
      <x:c r="A357" s="3" t="str">
        <x:v>SEC-010</x:v>
      </x:c>
      <x:c r="B357" s="3" t="str">
        <x:v>安全与跨层契约</x:v>
      </x:c>
      <x:c r="C357" s="3" t="str">
        <x:v>公网 Egress 与内网阻断</x:v>
      </x:c>
      <x:c r="D357" s="3" t="str">
        <x:v>P0</x:v>
      </x:c>
      <x:c r="E357" s="3" t="str">
        <x:v>网络</x:v>
      </x:c>
      <x:c r="F357" s="3" t="str">
        <x:v>单元/HTTP；容器网络行为需 E2</x:v>
      </x:c>
      <x:c r="G357" s="3" t="str">
        <x:v>全部使用专用 canary Secret、恶意路径和隔离测试环境；记录调用是否真实发生。</x:v>
      </x:c>
      <x:c r="H357" s="3" t="str">
        <x:v>公共测试HTTPS、回环、私网、链路本地、平台服务地址</x:v>
      </x:c>
      <x:c r="I357" s="3" t="str">
        <x:v>1. 容器发起各目的访问
2. 检查网络记录</x:v>
      </x:c>
      <x:c r="J357" s="3" t="str">
        <x:v>1. 仅明确允许网络成功
2. 宿主/平台内网/元数据地址不可访问</x:v>
      </x:c>
      <x:c r="K357" s="3" t="str">
        <x:v>S01;S08;S14;S16;S20</x:v>
      </x:c>
      <x:c r="L357" s="3" t="str">
        <x:v>需 Linux + runsc 真实验证，未执行</x:v>
      </x:c>
      <x:c r="M357" s="12" t="str">
        <x:v>未执行</x:v>
      </x:c>
      <x:c r="N357" s="12" t="str">
        <x:v>部分步骤证据：E2E-034 阻塞。完整结果见“E2E执行”。未执行全部原用例步骤，不据此标记整条通过。</x:v>
      </x:c>
      <x:c r="O357" s="12" t="str"/>
      <x:c r="P357" s="12" t="str">
        <x:v>Codex / 2026-09-06 17:21 Asia/Shanghai</x:v>
      </x:c>
    </x:row>
    <x:row r="358" ht="42" customHeight="1">
      <x:c r="A358" s="3" t="str">
        <x:v>SEC-011</x:v>
      </x:c>
      <x:c r="B358" s="3" t="str">
        <x:v>安全与跨层契约</x:v>
      </x:c>
      <x:c r="C358" s="3" t="str">
        <x:v>CLI 能力域名解析 fail closed</x:v>
      </x:c>
      <x:c r="D358" s="3" t="str">
        <x:v>P0</x:v>
      </x:c>
      <x:c r="E358" s="3" t="str">
        <x:v>网络</x:v>
      </x:c>
      <x:c r="F358" s="3" t="str">
        <x:v>单元/HTTP；容器网络行为需 E2</x:v>
      </x:c>
      <x:c r="G358" s="3" t="str">
        <x:v>全部使用专用 canary Secret、恶意路径和隔离测试环境；记录调用是否真实发生。</x:v>
      </x:c>
      <x:c r="H358" s="3" t="str">
        <x:v>审核域名解析为私网/混合公网私网/IPv6</x:v>
      </x:c>
      <x:c r="I358" s="3" t="str">
        <x:v>1. 建立CLI Egress policy并请求命令</x:v>
      </x:c>
      <x:c r="J358" s="3" t="str">
        <x:v>1. 任一不允许解析结果拒绝整条命令
2. 策略安装前不启动CLI</x:v>
      </x:c>
      <x:c r="K358" s="3" t="str">
        <x:v>S01;S08;S14;S16;S20</x:v>
      </x:c>
      <x:c r="L358" s="3" t="str">
        <x:v>实现路径存在，待执行验收</x:v>
      </x:c>
      <x:c r="M358" s="12" t="str">
        <x:v>未执行</x:v>
      </x:c>
      <x:c r="N358" s="12" t="str"/>
      <x:c r="O358" s="12" t="str"/>
      <x:c r="P358" s="12" t="str"/>
    </x:row>
    <x:row r="359" ht="57" customHeight="1">
      <x:c r="A359" s="3" t="str">
        <x:v>SEC-012</x:v>
      </x:c>
      <x:c r="B359" s="3" t="str">
        <x:v>安全与跨层契约</x:v>
      </x:c>
      <x:c r="C359" s="3" t="str">
        <x:v>专用 Connector Container 生命周期</x:v>
      </x:c>
      <x:c r="D359" s="3" t="str">
        <x:v>P0</x:v>
      </x:c>
      <x:c r="E359" s="3" t="str">
        <x:v>隔离</x:v>
      </x:c>
      <x:c r="F359" s="3" t="str">
        <x:v>单元/HTTP；容器网络行为需 E2</x:v>
      </x:c>
      <x:c r="G359" s="3" t="str">
        <x:v>全部使用专用 canary Secret、恶意路径和隔离测试环境；记录调用是否真实发生。</x:v>
      </x:c>
      <x:c r="H359" s="3" t="str">
        <x:v>模型Runtime请求审核CLI能力</x:v>
      </x:c>
      <x:c r="I359" s="3" t="str">
        <x:v>1. 建立network-none专用容器
2. 安装策略后执行
3. 正常/超时/失败结束</x:v>
      </x:c>
      <x:c r="J359" s="3" t="str">
        <x:v>1. 模型容器无bundle
2. 专用容器先隔离后开放窄权限
3. 先确认删除容器再撤销网络规则</x:v>
      </x:c>
      <x:c r="K359" s="3" t="str">
        <x:v>S01;S08;S14;S16;S20</x:v>
      </x:c>
      <x:c r="L359" s="3" t="str">
        <x:v>实现路径存在，待执行验收</x:v>
      </x:c>
      <x:c r="M359" s="12" t="str">
        <x:v>未执行</x:v>
      </x:c>
      <x:c r="N359" s="12" t="str"/>
      <x:c r="O359" s="12" t="str"/>
      <x:c r="P359" s="12" t="str"/>
    </x:row>
    <x:row r="360" ht="42" customHeight="1">
      <x:c r="A360" s="3" t="str">
        <x:v>SEC-013</x:v>
      </x:c>
      <x:c r="B360" s="3" t="str">
        <x:v>安全与跨层契约</x:v>
      </x:c>
      <x:c r="C360" s="3" t="str">
        <x:v>无法证明容器停止时保留限制</x:v>
      </x:c>
      <x:c r="D360" s="3" t="str">
        <x:v>P0</x:v>
      </x:c>
      <x:c r="E360" s="3" t="str">
        <x:v>故障</x:v>
      </x:c>
      <x:c r="F360" s="3" t="str">
        <x:v>单元/HTTP；容器网络行为需 E2</x:v>
      </x:c>
      <x:c r="G360" s="3" t="str">
        <x:v>全部使用专用 canary Secret、恶意路径和隔离测试环境；记录调用是否真实发生。</x:v>
      </x:c>
      <x:c r="H360" s="3" t="str">
        <x:v>模拟删除Connector Container失败</x:v>
      </x:c>
      <x:c r="I360" s="3" t="str">
        <x:v>1. 命令清理
2. 尝试撤销Egress Gate</x:v>
      </x:c>
      <x:c r="J360" s="3" t="str">
        <x:v>1. 保留限制性规则并返回失败
2. 不得因清理失败放开网络</x:v>
      </x:c>
      <x:c r="K360" s="3" t="str">
        <x:v>S01;S08;S14;S16;S20</x:v>
      </x:c>
      <x:c r="L360" s="3" t="str">
        <x:v>实现路径存在，待执行验收</x:v>
      </x:c>
      <x:c r="M360" s="12" t="str">
        <x:v>未执行</x:v>
      </x:c>
      <x:c r="N360" s="12" t="str"/>
      <x:c r="O360" s="12" t="str"/>
      <x:c r="P360" s="12" t="str"/>
    </x:row>
    <x:row r="361" ht="42" customHeight="1">
      <x:c r="A361" s="3" t="str">
        <x:v>SEC-014</x:v>
      </x:c>
      <x:c r="B361" s="3" t="str">
        <x:v>安全与跨层契约</x:v>
      </x:c>
      <x:c r="C361" s="3" t="str">
        <x:v>Object Key 与摘要校验</x:v>
      </x:c>
      <x:c r="D361" s="3" t="str">
        <x:v>P0</x:v>
      </x:c>
      <x:c r="E361" s="3" t="str">
        <x:v>完整性</x:v>
      </x:c>
      <x:c r="F361" s="3" t="str">
        <x:v>单元/HTTP；容器网络行为需 E2</x:v>
      </x:c>
      <x:c r="G361" s="3" t="str">
        <x:v>全部使用专用 canary Secret、恶意路径和隔离测试环境；记录调用是否真实发生。</x:v>
      </x:c>
      <x:c r="H361" s="3" t="str">
        <x:v>越界Key、大写SHA、错误Size/摘要</x:v>
      </x:c>
      <x:c r="I361" s="3" t="str">
        <x:v>1. 调用Provider写入
2. 对照合法对象回读</x:v>
      </x:c>
      <x:c r="J361" s="3" t="str">
        <x:v>1. 只接受安全逻辑Key、小写SHA和精确Size
2. 非法写入拒绝</x:v>
      </x:c>
      <x:c r="K361" s="3" t="str">
        <x:v>S01;S08;S14;S16;S20</x:v>
      </x:c>
      <x:c r="L361" s="3" t="str">
        <x:v>实现路径存在，待执行验收</x:v>
      </x:c>
      <x:c r="M361" s="12" t="str">
        <x:v>未执行</x:v>
      </x:c>
      <x:c r="N361" s="12" t="str"/>
      <x:c r="O361" s="12" t="str"/>
      <x:c r="P361" s="12" t="str"/>
    </x:row>
    <x:row r="362" ht="57" customHeight="1">
      <x:c r="A362" s="3" t="str">
        <x:v>SEC-015</x:v>
      </x:c>
      <x:c r="B362" s="3" t="str">
        <x:v>安全与跨层契约</x:v>
      </x:c>
      <x:c r="C362" s="3" t="str">
        <x:v>私有 Bucket 与短期下载</x:v>
      </x:c>
      <x:c r="D362" s="3" t="str">
        <x:v>P0</x:v>
      </x:c>
      <x:c r="E362" s="3" t="str">
        <x:v>权限</x:v>
      </x:c>
      <x:c r="F362" s="3" t="str">
        <x:v>单元/HTTP；容器网络行为需 E2</x:v>
      </x:c>
      <x:c r="G362" s="3" t="str">
        <x:v>全部使用专用 canary Secret、恶意路径和隔离测试环境；记录调用是否真实发生。</x:v>
      </x:c>
      <x:c r="H362" s="3" t="str">
        <x:v>MinIO/OSS 中测试对象</x:v>
      </x:c>
      <x:c r="I362" s="3" t="str">
        <x:v>1. 匿名读取
2. 获取限时授权读并等过期
3. 经产品API下载</x:v>
      </x:c>
      <x:c r="J362" s="3" t="str">
        <x:v>1. Bucket非公开
2. 过期授权失效
3. 上层仅持久化逻辑Key</x:v>
      </x:c>
      <x:c r="K362" s="3" t="str">
        <x:v>S01;S08;S14;S16;S20</x:v>
      </x:c>
      <x:c r="L362" s="3" t="str">
        <x:v>实现路径存在，待执行验收</x:v>
      </x:c>
      <x:c r="M362" s="12" t="str">
        <x:v>未执行</x:v>
      </x:c>
      <x:c r="N362" s="12" t="str"/>
      <x:c r="O362" s="12" t="str"/>
      <x:c r="P362" s="12" t="str"/>
    </x:row>
    <x:row r="363" ht="57" customHeight="1">
      <x:c r="A363" s="3" t="str">
        <x:v>SEC-016</x:v>
      </x:c>
      <x:c r="B363" s="3" t="str">
        <x:v>安全与跨层契约</x:v>
      </x:c>
      <x:c r="C363" s="3" t="str">
        <x:v>Markdown 脚本与链接安全</x:v>
      </x:c>
      <x:c r="D363" s="3" t="str">
        <x:v>P0</x:v>
      </x:c>
      <x:c r="E363" s="3" t="str">
        <x:v>安全</x:v>
      </x:c>
      <x:c r="F363" s="3" t="str">
        <x:v>单元/HTTP；容器网络行为需 E2</x:v>
      </x:c>
      <x:c r="G363" s="3" t="str">
        <x:v>全部使用专用 canary Secret、恶意路径和隔离测试环境；记录调用是否真实发生。</x:v>
      </x:c>
      <x:c r="H363" s="3" t="str">
        <x:v>script、javascript: 链接、恶意HTML、远程图片</x:v>
      </x:c>
      <x:c r="I363" s="3" t="str">
        <x:v>1. 在Agent输出与Skill详情渲染
2. 点击安全外链</x:v>
      </x:c>
      <x:c r="J363" s="3" t="str">
        <x:v>1. 恶意内容不执行
2. 远程图片不自动泄漏上下文
3. 新窗口外链具必要隔离属性</x:v>
      </x:c>
      <x:c r="K363" s="3" t="str">
        <x:v>S01;S08;S14;S16;S20</x:v>
      </x:c>
      <x:c r="L363" s="3" t="str">
        <x:v>实现路径存在，待执行验收</x:v>
      </x:c>
      <x:c r="M363" s="12" t="str">
        <x:v>未执行</x:v>
      </x:c>
      <x:c r="N363" s="12" t="str"/>
      <x:c r="O363" s="12" t="str"/>
      <x:c r="P363" s="12" t="str"/>
    </x:row>
    <x:row r="364" ht="57" customHeight="1">
      <x:c r="A364" s="3" t="str">
        <x:v>RUN-001</x:v>
      </x:c>
      <x:c r="B364" s="3" t="str">
        <x:v>Runtime 与恢复</x:v>
      </x:c>
      <x:c r="C364" s="3" t="str">
        <x:v>五 Runtime 固定版本一致</x:v>
      </x:c>
      <x:c r="D364" s="3" t="str">
        <x:v>P0</x:v>
      </x:c>
      <x:c r="E364" s="3" t="str">
        <x:v>契约</x:v>
      </x:c>
      <x:c r="F364" s="3" t="str">
        <x:v>recording harness；真实调用需 E2</x:v>
      </x:c>
      <x:c r="G364" s="3" t="str">
        <x:v>五种固定版本镜像、带记录的 process harness 和可控错误；可选能力默认关闭。</x:v>
      </x:c>
      <x:c r="H364" s="3" t="str">
        <x:v>Claude 2.1.233、Codex 0.147.0、Hermes 0.19.0、OpenClaw 2026.7.1-2、PI 0.84.4</x:v>
      </x:c>
      <x:c r="I364" s="3" t="str">
        <x:v>1. 逐个比对Driver Version、Dockerfile与CLI --version
2. 运行镜像smoke</x:v>
      </x:c>
      <x:c r="J364" s="3" t="str">
        <x:v>1. 每种仅一种固定Runtime
2. 版本一致
3. 版本探测错误不继续执行</x:v>
      </x:c>
      <x:c r="K364" s="3" t="str">
        <x:v>S14;S16;S20</x:v>
      </x:c>
      <x:c r="L364" s="3" t="str">
        <x:v>镜像 smoke 与真实调用未执行</x:v>
      </x:c>
      <x:c r="M364" s="12" t="str">
        <x:v>未执行</x:v>
      </x:c>
      <x:c r="N364" s="12" t="str"/>
      <x:c r="O364" s="12" t="str"/>
      <x:c r="P364" s="12" t="str"/>
    </x:row>
    <x:row r="365" ht="57" customHeight="1">
      <x:c r="A365" s="3" t="str">
        <x:v>RUN-002</x:v>
      </x:c>
      <x:c r="B365" s="3" t="str">
        <x:v>Runtime 与恢复</x:v>
      </x:c>
      <x:c r="C365" s="3" t="str">
        <x:v>五 Runtime 基础成功调用</x:v>
      </x:c>
      <x:c r="D365" s="3" t="str">
        <x:v>P0</x:v>
      </x:c>
      <x:c r="E365" s="3" t="str">
        <x:v>执行</x:v>
      </x:c>
      <x:c r="F365" s="3" t="str">
        <x:v>recording harness；真实调用需 E2</x:v>
      </x:c>
      <x:c r="G365" s="3" t="str">
        <x:v>五种固定版本镜像、带记录的 process harness 和可控错误；可选能力默认关闭。</x:v>
      </x:c>
      <x:c r="H365" s="3" t="str">
        <x:v>同一个简单纯文本任务与各自兼容模型</x:v>
      </x:c>
      <x:c r="I365" s="3" t="str">
        <x:v>1. 对每个固定RepoDigest执行
2. 记录输出、取消与用量状态</x:v>
      </x:c>
      <x:c r="J365" s="3" t="str">
        <x:v>1. 实际得到有效final
2. 保存Digest与环境证据
3. 未验证的Runtime不标为生产可用</x:v>
      </x:c>
      <x:c r="K365" s="3" t="str">
        <x:v>S14;S16;S20</x:v>
      </x:c>
      <x:c r="L365" s="3" t="str">
        <x:v>需逐镜像真实 Conformance，未执行</x:v>
      </x:c>
      <x:c r="M365" s="12" t="str">
        <x:v>未执行</x:v>
      </x:c>
      <x:c r="N365" s="12" t="str">
        <x:v>部分步骤证据：E2E-031 阻塞。完整结果见“E2E执行”。未执行全部原用例步骤，不据此标记整条通过。</x:v>
      </x:c>
      <x:c r="O365" s="12" t="str"/>
      <x:c r="P365" s="12" t="str">
        <x:v>Codex / 2026-09-06 17:21 Asia/Shanghai</x:v>
      </x:c>
    </x:row>
    <x:row r="366" ht="42" customHeight="1">
      <x:c r="A366" s="3" t="str">
        <x:v>RUN-003</x:v>
      </x:c>
      <x:c r="B366" s="3" t="str">
        <x:v>Runtime 与恢复</x:v>
      </x:c>
      <x:c r="C366" s="3" t="str">
        <x:v>协议不兼容明确错误</x:v>
      </x:c>
      <x:c r="D366" s="3" t="str">
        <x:v>P0</x:v>
      </x:c>
      <x:c r="E366" s="3" t="str">
        <x:v>契约</x:v>
      </x:c>
      <x:c r="F366" s="3" t="str">
        <x:v>recording harness；真实调用需 E2</x:v>
      </x:c>
      <x:c r="G366" s="3" t="str">
        <x:v>五种固定版本镜像、带记录的 process harness 和可控错误；可选能力默认关闭。</x:v>
      </x:c>
      <x:c r="H366" s="3" t="str">
        <x:v>Codex缺Responses、Claude缺Anthropic协议</x:v>
      </x:c>
      <x:c r="I366" s="3" t="str">
        <x:v>1. 调用Adapter Execute
2. 观察失败分类和进程</x:v>
      </x:c>
      <x:c r="J366" s="3" t="str">
        <x:v>1. 明确拒绝不兼容
2. 不偷偷回退官方Endpoint或替换模型</x:v>
      </x:c>
      <x:c r="K366" s="3" t="str">
        <x:v>S14;S16;S20</x:v>
      </x:c>
      <x:c r="L366" s="3" t="str">
        <x:v>实现路径存在，待执行验收</x:v>
      </x:c>
      <x:c r="M366" s="12" t="str">
        <x:v>未执行</x:v>
      </x:c>
      <x:c r="N366" s="12" t="str"/>
      <x:c r="O366" s="12" t="str"/>
      <x:c r="P366" s="12" t="str"/>
    </x:row>
    <x:row r="367" ht="57" customHeight="1">
      <x:c r="A367" s="3" t="str">
        <x:v>RUN-004</x:v>
      </x:c>
      <x:c r="B367" s="3" t="str">
        <x:v>Runtime 与恢复</x:v>
      </x:c>
      <x:c r="C367" s="3" t="str">
        <x:v>Codex 图片参数</x:v>
      </x:c>
      <x:c r="D367" s="3" t="str">
        <x:v>P1</x:v>
      </x:c>
      <x:c r="E367" s="3" t="str">
        <x:v>契约</x:v>
      </x:c>
      <x:c r="F367" s="3" t="str">
        <x:v>recording harness；真实调用需 E2</x:v>
      </x:c>
      <x:c r="G367" s="3" t="str">
        <x:v>五种固定版本镜像、带记录的 process harness 和可控错误；可选能力默认关闭。</x:v>
      </x:c>
      <x:c r="H367" s="3" t="str">
        <x:v>两张已校验image/*附件与一个文本附件</x:v>
      </x:c>
      <x:c r="I367" s="3" t="str">
        <x:v>1. 构建新会话和resume调用
2. 检查argv</x:v>
      </x:c>
      <x:c r="J367" s="3" t="str">
        <x:v>1. 逐图使用独立 --image 参数
2. 普通文件仍通过受控路径
3. 正文不拼Shell</x:v>
      </x:c>
      <x:c r="K367" s="3" t="str">
        <x:v>S14;S16;S20</x:v>
      </x:c>
      <x:c r="L367" s="3" t="str">
        <x:v>实现路径存在，待执行验收</x:v>
      </x:c>
      <x:c r="M367" s="12" t="str">
        <x:v>未执行</x:v>
      </x:c>
      <x:c r="N367" s="12" t="str"/>
      <x:c r="O367" s="12" t="str"/>
      <x:c r="P367" s="12" t="str"/>
    </x:row>
    <x:row r="368" ht="57" customHeight="1">
      <x:c r="A368" s="3" t="str">
        <x:v>RUN-005</x:v>
      </x:c>
      <x:c r="B368" s="3" t="str">
        <x:v>Runtime 与恢复</x:v>
      </x:c>
      <x:c r="C368" s="3" t="str">
        <x:v>PI 隐式发现关闭</x:v>
      </x:c>
      <x:c r="D368" s="3" t="str">
        <x:v>P0</x:v>
      </x:c>
      <x:c r="E368" s="3" t="str">
        <x:v>隔离</x:v>
      </x:c>
      <x:c r="F368" s="3" t="str">
        <x:v>recording harness；真实调用需 E2</x:v>
      </x:c>
      <x:c r="G368" s="3" t="str">
        <x:v>五种固定版本镜像、带记录的 process harness 和可控错误；可选能力默认关闭。</x:v>
      </x:c>
      <x:c r="H368" s="3" t="str">
        <x:v>Workspace含未选择的extension/skill/prompt/context文件</x:v>
      </x:c>
      <x:c r="I368" s="3" t="str">
        <x:v>1. 使用PI构造执行配置
2. 检查加载行为</x:v>
      </x:c>
      <x:c r="J368" s="3" t="str">
        <x:v>1. 默认不发现隐式扩展与提示
2. 只提供平台冻结Skill
3. MCP未适配时拒绝</x:v>
      </x:c>
      <x:c r="K368" s="3" t="str">
        <x:v>S14;S16;S20</x:v>
      </x:c>
      <x:c r="L368" s="3" t="str">
        <x:v>实现路径存在，待执行验收</x:v>
      </x:c>
      <x:c r="M368" s="12" t="str">
        <x:v>未执行</x:v>
      </x:c>
      <x:c r="N368" s="12" t="str"/>
      <x:c r="O368" s="12" t="str"/>
      <x:c r="P368" s="12" t="str"/>
    </x:row>
    <x:row r="369" ht="42" customHeight="1">
      <x:c r="A369" s="3" t="str">
        <x:v>RUN-006</x:v>
      </x:c>
      <x:c r="B369" s="3" t="str">
        <x:v>Runtime 与恢复</x:v>
      </x:c>
      <x:c r="C369" s="3" t="str">
        <x:v>64 MiB 总输出限制</x:v>
      </x:c>
      <x:c r="D369" s="3" t="str">
        <x:v>P0</x:v>
      </x:c>
      <x:c r="E369" s="3" t="str">
        <x:v>边界</x:v>
      </x:c>
      <x:c r="F369" s="3" t="str">
        <x:v>recording harness；真实调用需 E2</x:v>
      </x:c>
      <x:c r="G369" s="3" t="str">
        <x:v>五种固定版本镜像、带记录的 process harness 和可控错误；可选能力默认关闭。</x:v>
      </x:c>
      <x:c r="H369" s="3" t="str">
        <x:v>合法大单行JSONL；输出总量64MiB及超限</x:v>
      </x:c>
      <x:c r="I369" s="3" t="str">
        <x:v>1. 喂入大结构化事件
2. 再喂超限输出</x:v>
      </x:c>
      <x:c r="J369" s="3" t="str">
        <x:v>1. 合法单行不因小通用行上限误杀
2. 超过总量立即终止并分类错误</x:v>
      </x:c>
      <x:c r="K369" s="3" t="str">
        <x:v>S14;S16;S20</x:v>
      </x:c>
      <x:c r="L369" s="3" t="str">
        <x:v>实现路径存在，待执行验收</x:v>
      </x:c>
      <x:c r="M369" s="12" t="str">
        <x:v>未执行</x:v>
      </x:c>
      <x:c r="N369" s="12" t="str"/>
      <x:c r="O369" s="12" t="str"/>
      <x:c r="P369" s="12" t="str"/>
    </x:row>
    <x:row r="370" ht="57" customHeight="1">
      <x:c r="A370" s="3" t="str">
        <x:v>RUN-007</x:v>
      </x:c>
      <x:c r="B370" s="3" t="str">
        <x:v>Runtime 与恢复</x:v>
      </x:c>
      <x:c r="C370" s="3" t="str">
        <x:v>取消与超时终止整组进程</x:v>
      </x:c>
      <x:c r="D370" s="3" t="str">
        <x:v>P0</x:v>
      </x:c>
      <x:c r="E370" s="3" t="str">
        <x:v>恢复</x:v>
      </x:c>
      <x:c r="F370" s="3" t="str">
        <x:v>recording harness；真实调用需 E2</x:v>
      </x:c>
      <x:c r="G370" s="3" t="str">
        <x:v>五种固定版本镜像、带记录的 process harness 和可控错误；可选能力默认关闭。</x:v>
      </x:c>
      <x:c r="H370" s="3" t="str">
        <x:v>子进程派生后台进程；总超时很短</x:v>
      </x:c>
      <x:c r="I370" s="3" t="str">
        <x:v>1. 分别cancel/context timeout
2. 观察完整进程组和容器</x:v>
      </x:c>
      <x:c r="J370" s="3" t="str">
        <x:v>1. 所有相关进程终止
2. 不会遗留后台动作
3. 终态和清理一致</x:v>
      </x:c>
      <x:c r="K370" s="3" t="str">
        <x:v>S14;S16;S20</x:v>
      </x:c>
      <x:c r="L370" s="3" t="str">
        <x:v>实现路径存在，待执行验收</x:v>
      </x:c>
      <x:c r="M370" s="12" t="str">
        <x:v>未执行</x:v>
      </x:c>
      <x:c r="N370" s="12" t="str"/>
      <x:c r="O370" s="12" t="str"/>
      <x:c r="P370" s="12" t="str"/>
    </x:row>
    <x:row r="371" ht="57" customHeight="1">
      <x:c r="A371" s="3" t="str">
        <x:v>RUN-008</x:v>
      </x:c>
      <x:c r="B371" s="3" t="str">
        <x:v>Runtime 与恢复</x:v>
      </x:c>
      <x:c r="C371" s="3" t="str">
        <x:v>暖容器30分钟复用与回收</x:v>
      </x:c>
      <x:c r="D371" s="3" t="str">
        <x:v>P1</x:v>
      </x:c>
      <x:c r="E371" s="3" t="str">
        <x:v>生命周期</x:v>
      </x:c>
      <x:c r="F371" s="3" t="str">
        <x:v>recording harness；真实调用需 E2</x:v>
      </x:c>
      <x:c r="G371" s="3" t="str">
        <x:v>五种固定版本镜像、带记录的 process harness 和可控错误；可选能力默认关闭。</x:v>
      </x:c>
      <x:c r="H371" s="3" t="str">
        <x:v>同一Owner/conversation/member/runtime/digest</x:v>
      </x:c>
      <x:c r="I371" s="3" t="str">
        <x:v>1. 结束Stage
2. 30分钟内再调用
3. 空闲30分钟后reaper</x:v>
      </x:c>
      <x:c r="J371" s="3" t="str">
        <x:v>1. 单次Secret立即清理
2. 匹配身份可复用定义
3. 空闲到期销毁</x:v>
      </x:c>
      <x:c r="K371" s="3" t="str">
        <x:v>S14;S16;S20</x:v>
      </x:c>
      <x:c r="L371" s="3" t="str">
        <x:v>实现路径存在，待执行验收</x:v>
      </x:c>
      <x:c r="M371" s="12" t="str">
        <x:v>未执行</x:v>
      </x:c>
      <x:c r="N371" s="12" t="str"/>
      <x:c r="O371" s="12" t="str"/>
      <x:c r="P371" s="12" t="str"/>
    </x:row>
    <x:row r="372" ht="42" customHeight="1">
      <x:c r="A372" s="3" t="str">
        <x:v>RUN-009</x:v>
      </x:c>
      <x:c r="B372" s="3" t="str">
        <x:v>Runtime 与恢复</x:v>
      </x:c>
      <x:c r="C372" s="3" t="str">
        <x:v>暖容器成员与用户隔离</x:v>
      </x:c>
      <x:c r="D372" s="3" t="str">
        <x:v>P0</x:v>
      </x:c>
      <x:c r="E372" s="3" t="str">
        <x:v>隔离</x:v>
      </x:c>
      <x:c r="F372" s="3" t="str">
        <x:v>recording harness；真实调用需 E2</x:v>
      </x:c>
      <x:c r="G372" s="3" t="str">
        <x:v>五种固定版本镜像、带记录的 process harness 和可控错误；可选能力默认关闭。</x:v>
      </x:c>
      <x:c r="H372" s="3" t="str">
        <x:v>同Expert重复角色、另一User、另一conversation</x:v>
      </x:c>
      <x:c r="I372" s="3" t="str">
        <x:v>1. 分别执行并比较warm slot身份</x:v>
      </x:c>
      <x:c r="J372" s="3" t="str">
        <x:v>1. 不同Owner/资源/成员/Runtime/Digest隔离
2. 不能读到其他成员上下文</x:v>
      </x:c>
      <x:c r="K372" s="3" t="str">
        <x:v>S14;S16;S20</x:v>
      </x:c>
      <x:c r="L372" s="3" t="str">
        <x:v>实现路径存在，待执行验收</x:v>
      </x:c>
      <x:c r="M372" s="12" t="str">
        <x:v>未执行</x:v>
      </x:c>
      <x:c r="N372" s="12" t="str"/>
      <x:c r="O372" s="12" t="str"/>
      <x:c r="P372" s="12" t="str"/>
    </x:row>
    <x:row r="373" ht="57" customHeight="1">
      <x:c r="A373" s="3" t="str">
        <x:v>RUN-010</x:v>
      </x:c>
      <x:c r="B373" s="3" t="str">
        <x:v>Runtime 与恢复</x:v>
      </x:c>
      <x:c r="C373" s="3" t="str">
        <x:v>资源变化隔离暖状态且关闭Resume</x:v>
      </x:c>
      <x:c r="D373" s="3" t="str">
        <x:v>P0</x:v>
      </x:c>
      <x:c r="E373" s="3" t="str">
        <x:v>安全</x:v>
      </x:c>
      <x:c r="F373" s="3" t="str">
        <x:v>recording harness；真实调用需 E2</x:v>
      </x:c>
      <x:c r="G373" s="3" t="str">
        <x:v>五种固定版本镜像、带记录的 process harness 和可控错误；可选能力默认关闭。</x:v>
      </x:c>
      <x:c r="H373" s="3" t="str">
        <x:v>会话使用C1后移除或切换S1→S2</x:v>
      </x:c>
      <x:c r="I373" s="3" t="str">
        <x:v>1. 下一轮发送
2. 检查warm identity、checkpoint和完整instruction</x:v>
      </x:c>
      <x:c r="J373" s="3" t="str">
        <x:v>1. 资源集合摘要变化
2. 动态选择不使用旧Native Resume
3. 移除工具不可通过缓存继续执行</x:v>
      </x:c>
      <x:c r="K373" s="3" t="str">
        <x:v>S14;S16;S20</x:v>
      </x:c>
      <x:c r="L373" s="3" t="str">
        <x:v>实现路径存在，待执行验收</x:v>
      </x:c>
      <x:c r="M373" s="12" t="str">
        <x:v>未执行</x:v>
      </x:c>
      <x:c r="N373" s="12" t="str"/>
      <x:c r="O373" s="12" t="str"/>
      <x:c r="P373" s="12" t="str"/>
    </x:row>
    <x:row r="374" ht="57" customHeight="1">
      <x:c r="A374" s="3" t="str">
        <x:v>RUN-011</x:v>
      </x:c>
      <x:c r="B374" s="3" t="str">
        <x:v>Runtime 与恢复</x:v>
      </x:c>
      <x:c r="C374" s="3" t="str">
        <x:v>本地Native状态缺失安全回退</x:v>
      </x:c>
      <x:c r="D374" s="3" t="str">
        <x:v>P0</x:v>
      </x:c>
      <x:c r="E374" s="3" t="str">
        <x:v>恢复</x:v>
      </x:c>
      <x:c r="F374" s="3" t="str">
        <x:v>recording harness；真实调用需 E2</x:v>
      </x:c>
      <x:c r="G374" s="3" t="str">
        <x:v>五种固定版本镜像、带记录的 process harness 和可控错误；可选能力默认关闭。</x:v>
      </x:c>
      <x:c r="H374" s="3" t="str">
        <x:v>数据库checkpoint存在、本地状态目录丢失</x:v>
      </x:c>
      <x:c r="I374" s="3" t="str">
        <x:v>1. 在执行前检查并启动
2. 捕获instruction</x:v>
      </x:c>
      <x:c r="J374" s="3" t="str">
        <x:v>1. 执行前放弃checkpoint
2. 使用平台摘要和历史
3. 不改写原终态Run</x:v>
      </x:c>
      <x:c r="K374" s="3" t="str">
        <x:v>S14;S16;S20</x:v>
      </x:c>
      <x:c r="L374" s="3" t="str">
        <x:v>实现路径存在，待执行验收</x:v>
      </x:c>
      <x:c r="M374" s="12" t="str">
        <x:v>未执行</x:v>
      </x:c>
      <x:c r="N374" s="12" t="str"/>
      <x:c r="O374" s="12" t="str"/>
      <x:c r="P374" s="12" t="str"/>
    </x:row>
    <x:row r="375" ht="42" customHeight="1">
      <x:c r="A375" s="3" t="str">
        <x:v>RUN-012</x:v>
      </x:c>
      <x:c r="B375" s="3" t="str">
        <x:v>Runtime 与恢复</x:v>
      </x:c>
      <x:c r="C375" s="3" t="str">
        <x:v>未知Resume失败不自动重执行</x:v>
      </x:c>
      <x:c r="D375" s="3" t="str">
        <x:v>P0</x:v>
      </x:c>
      <x:c r="E375" s="3" t="str">
        <x:v>安全</x:v>
      </x:c>
      <x:c r="F375" s="3" t="str">
        <x:v>recording harness；真实调用需 E2</x:v>
      </x:c>
      <x:c r="G375" s="3" t="str">
        <x:v>五种固定版本镜像、带记录的 process harness 和可控错误；可选能力默认关闭。</x:v>
      </x:c>
      <x:c r="H375" s="3" t="str">
        <x:v>Runtime可能已执行动作后返回Resume错误</x:v>
      </x:c>
      <x:c r="I375" s="3" t="str">
        <x:v>1. 模拟该错误
2. 检查调用次数和UI</x:v>
      </x:c>
      <x:c r="J375" s="3" t="str">
        <x:v>1. 不自动回退导致重复动作
2. 显示错误供用户明确重试</x:v>
      </x:c>
      <x:c r="K375" s="3" t="str">
        <x:v>S14;S16;S20</x:v>
      </x:c>
      <x:c r="L375" s="3" t="str">
        <x:v>实现路径存在，待执行验收</x:v>
      </x:c>
      <x:c r="M375" s="12" t="str">
        <x:v>未执行</x:v>
      </x:c>
      <x:c r="N375" s="12" t="str"/>
      <x:c r="O375" s="12" t="str"/>
      <x:c r="P375" s="12" t="str"/>
    </x:row>
    <x:row r="376" ht="57" customHeight="1">
      <x:c r="A376" s="3" t="str">
        <x:v>RUN-013</x:v>
      </x:c>
      <x:c r="B376" s="3" t="str">
        <x:v>Runtime 与恢复</x:v>
      </x:c>
      <x:c r="C376" s="3" t="str">
        <x:v>原生状态持久化内容净化</x:v>
      </x:c>
      <x:c r="D376" s="3" t="str">
        <x:v>P0</x:v>
      </x:c>
      <x:c r="E376" s="3" t="str">
        <x:v>安全</x:v>
      </x:c>
      <x:c r="F376" s="3" t="str">
        <x:v>recording harness；真实调用需 E2</x:v>
      </x:c>
      <x:c r="G376" s="3" t="str">
        <x:v>五种固定版本镜像、带记录的 process harness 和可控错误；可选能力默认关闭。</x:v>
      </x:c>
      <x:c r="H376" s="3" t="str">
        <x:v>native目录含sessions、auth、logs、MCP配置与canary</x:v>
      </x:c>
      <x:c r="I376" s="3" t="str">
        <x:v>1. 成功提交native state
2. 查看持久目录</x:v>
      </x:c>
      <x:c r="J376" s="3" t="str">
        <x:v>1. 仅允许会话必要状态
2. 临时配置、认证、日志不保留
3. 会话文件已脱敏</x:v>
      </x:c>
      <x:c r="K376" s="3" t="str">
        <x:v>S14;S16;S20</x:v>
      </x:c>
      <x:c r="L376" s="3" t="str">
        <x:v>实现路径存在，待执行验收</x:v>
      </x:c>
      <x:c r="M376" s="12" t="str">
        <x:v>未执行</x:v>
      </x:c>
      <x:c r="N376" s="12" t="str"/>
      <x:c r="O376" s="12" t="str"/>
      <x:c r="P376" s="12" t="str"/>
    </x:row>
    <x:row r="377" ht="57" customHeight="1">
      <x:c r="A377" s="3" t="str">
        <x:v>RUN-014</x:v>
      </x:c>
      <x:c r="B377" s="3" t="str">
        <x:v>Runtime 与恢复</x:v>
      </x:c>
      <x:c r="C377" s="3" t="str">
        <x:v>整体成功提交前置检查</x:v>
      </x:c>
      <x:c r="D377" s="3" t="str">
        <x:v>P0</x:v>
      </x:c>
      <x:c r="E377" s="3" t="str">
        <x:v>一致性</x:v>
      </x:c>
      <x:c r="F377" s="3" t="str">
        <x:v>recording harness；真实调用需 E2</x:v>
      </x:c>
      <x:c r="G377" s="3" t="str">
        <x:v>五种固定版本镜像、带记录的 process harness 和可控错误；可选能力默认关闭。</x:v>
      </x:c>
      <x:c r="H377" s="3" t="str">
        <x:v>Runtime成功但Workspace安全检查或Artifact存储失败</x:v>
      </x:c>
      <x:c r="I377" s="3" t="str">
        <x:v>1. 逐项注入失败
2. 查看Run终态与持久Workspace</x:v>
      </x:c>
      <x:c r="J377" s="3" t="str">
        <x:v>1. 不能将该轮标succeeded
2. 不合并危险/不完整结果
3. 可见明确错误</x:v>
      </x:c>
      <x:c r="K377" s="3" t="str">
        <x:v>S14;S16;S20</x:v>
      </x:c>
      <x:c r="L377" s="3" t="str">
        <x:v>实现路径存在，待执行验收</x:v>
      </x:c>
      <x:c r="M377" s="12" t="str">
        <x:v>未执行</x:v>
      </x:c>
      <x:c r="N377" s="12" t="str"/>
      <x:c r="O377" s="12" t="str"/>
      <x:c r="P377" s="12" t="str"/>
    </x:row>
    <x:row r="378" ht="57" customHeight="1">
      <x:c r="A378" s="3" t="str">
        <x:v>UI-001</x:v>
      </x:c>
      <x:c r="B378" s="3" t="str">
        <x:v>导航与通用交互</x:v>
      </x:c>
      <x:c r="C378" s="3" t="str">
        <x:v>五主导航与默认首页</x:v>
      </x:c>
      <x:c r="D378" s="3" t="str">
        <x:v>P1</x:v>
      </x:c>
      <x:c r="E378" s="3" t="str">
        <x:v>范围</x:v>
      </x:c>
      <x:c r="F378" s="3" t="str">
        <x:v>Web；真实登录闭环另执行</x:v>
      </x:c>
      <x:c r="G378" s="3" t="str">
        <x:v>桌面1440px和移动390px；中文/英文；键盘和触摸；可模拟离线与慢响应。</x:v>
      </x:c>
      <x:c r="H378" s="3" t="str">
        <x:v>已登录A</x:v>
      </x:c>
      <x:c r="I378" s="3" t="str">
        <x:v>1. 从根路径进入
2. 查看全部主导航
3. 逐个切换</x:v>
      </x:c>
      <x:c r="J378" s="3" t="str">
        <x:v>1. 默认Sessions
2. 仅Sessions/Workflows/Experts/Skills &amp; Connectors/Settings五项</x:v>
      </x:c>
      <x:c r="K378" s="3" t="str">
        <x:v>S01;S21</x:v>
      </x:c>
      <x:c r="L378" s="3" t="str">
        <x:v>实现路径存在，待执行验收</x:v>
      </x:c>
      <x:c r="M378" s="12" t="str">
        <x:v>未执行</x:v>
      </x:c>
      <x:c r="N378" s="12" t="str">
        <x:v>部分步骤证据：E2E-025 通过；E2E-026 通过；E2E-027 通过；E2E-028 通过。完整结果见“E2E执行”。未执行全部原用例步骤，不据此标记整条通过。</x:v>
      </x:c>
      <x:c r="O378" s="12" t="str"/>
      <x:c r="P378" s="12" t="str">
        <x:v>Codex / 2026-09-06 17:21 Asia/Shanghai</x:v>
      </x:c>
    </x:row>
    <x:row r="379" ht="57" customHeight="1">
      <x:c r="A379" s="3" t="str">
        <x:v>UI-002</x:v>
      </x:c>
      <x:c r="B379" s="3" t="str">
        <x:v>导航与通用交互</x:v>
      </x:c>
      <x:c r="C379" s="3" t="str">
        <x:v>首次使用引导</x:v>
      </x:c>
      <x:c r="D379" s="3" t="str">
        <x:v>P0</x:v>
      </x:c>
      <x:c r="E379" s="3" t="str">
        <x:v>交互</x:v>
      </x:c>
      <x:c r="F379" s="3" t="str">
        <x:v>Web；真实登录闭环另执行</x:v>
      </x:c>
      <x:c r="G379" s="3" t="str">
        <x:v>桌面1440px和移动390px；中文/英文；键盘和触摸；可模拟离线与慢响应。</x:v>
      </x:c>
      <x:c r="H379" s="3" t="str">
        <x:v>无平台模型、无个人Runtime默认各一例</x:v>
      </x:c>
      <x:c r="I379" s="3" t="str">
        <x:v>1. 登录进入Sessions
2. 尝试执行
3. 完成配置</x:v>
      </x:c>
      <x:c r="J379" s="3" t="str">
        <x:v>1. 明确引导管理员配目录、用户选默认
2. Expert/Skill/Connector不作为首次使用必需</x:v>
      </x:c>
      <x:c r="K379" s="3" t="str">
        <x:v>S01;S21</x:v>
      </x:c>
      <x:c r="L379" s="3" t="str">
        <x:v>实现路径存在，待执行验收</x:v>
      </x:c>
      <x:c r="M379" s="12" t="str">
        <x:v>未执行</x:v>
      </x:c>
      <x:c r="N379" s="12" t="str"/>
      <x:c r="O379" s="12" t="str"/>
      <x:c r="P379" s="12" t="str"/>
    </x:row>
    <x:row r="380" ht="57" customHeight="1">
      <x:c r="A380" s="3" t="str">
        <x:v>UI-003</x:v>
      </x:c>
      <x:c r="B380" s="3" t="str">
        <x:v>导航与通用交互</x:v>
      </x:c>
      <x:c r="C380" s="3" t="str">
        <x:v>资源目录标签页</x:v>
      </x:c>
      <x:c r="D380" s="3" t="str">
        <x:v>P1</x:v>
      </x:c>
      <x:c r="E380" s="3" t="str">
        <x:v>交互</x:v>
      </x:c>
      <x:c r="F380" s="3" t="str">
        <x:v>Web；真实登录闭环另执行</x:v>
      </x:c>
      <x:c r="G380" s="3" t="str">
        <x:v>桌面1440px和移动390px；中文/英文；键盘和触摸；可模拟离线与慢响应。</x:v>
      </x:c>
      <x:c r="H380" s="3" t="str">
        <x:v>专家/团队及技能/连接器都存在</x:v>
      </x:c>
      <x:c r="I380" s="3" t="str">
        <x:v>1. 切换Experts和资源页两级tabs</x:v>
      </x:c>
      <x:c r="J380" s="3" t="str">
        <x:v>1. 正确分成专家/专家团队、技能/连接器
2. 中文“技能·连接器”
3. 不显示旧Extension入口</x:v>
      </x:c>
      <x:c r="K380" s="3" t="str">
        <x:v>S01;S21</x:v>
      </x:c>
      <x:c r="L380" s="3" t="str">
        <x:v>实现路径存在，待执行验收</x:v>
      </x:c>
      <x:c r="M380" s="12" t="str">
        <x:v>未执行</x:v>
      </x:c>
      <x:c r="N380" s="12" t="str">
        <x:v>部分步骤证据：E2E-026 通过；E2E-027 通过。完整结果见“E2E执行”。未执行全部原用例步骤，不据此标记整条通过。</x:v>
      </x:c>
      <x:c r="O380" s="12" t="str"/>
      <x:c r="P380" s="12" t="str">
        <x:v>Codex / 2026-09-06 17:21 Asia/Shanghai</x:v>
      </x:c>
    </x:row>
    <x:row r="381" ht="57" customHeight="1">
      <x:c r="A381" s="3" t="str">
        <x:v>UI-004</x:v>
      </x:c>
      <x:c r="B381" s="3" t="str">
        <x:v>导航与通用交互</x:v>
      </x:c>
      <x:c r="C381" s="3" t="str">
        <x:v>桌面详情侧栏与移动全屏</x:v>
      </x:c>
      <x:c r="D381" s="3" t="str">
        <x:v>P1</x:v>
      </x:c>
      <x:c r="E381" s="3" t="str">
        <x:v>响应式</x:v>
      </x:c>
      <x:c r="F381" s="3" t="str">
        <x:v>Web；真实登录闭环另执行</x:v>
      </x:c>
      <x:c r="G381" s="3" t="str">
        <x:v>桌面1440px和移动390px；中文/英文；键盘和触摸；可模拟离线与慢响应。</x:v>
      </x:c>
      <x:c r="H381" s="3" t="str">
        <x:v>Expert、Team、Skill详情</x:v>
      </x:c>
      <x:c r="I381" s="3" t="str">
        <x:v>1. 1440px打开卡片详情
2. 390px重复
3. 关闭返回</x:v>
      </x:c>
      <x:c r="J381" s="3" t="str">
        <x:v>1. 桌面侧栏、移动可用完整详情
2. 关闭后回原目录
3. 正文和操作不截断</x:v>
      </x:c>
      <x:c r="K381" s="3" t="str">
        <x:v>S01;S21</x:v>
      </x:c>
      <x:c r="L381" s="3" t="str">
        <x:v>实现路径存在，待执行验收</x:v>
      </x:c>
      <x:c r="M381" s="12" t="str">
        <x:v>未执行</x:v>
      </x:c>
      <x:c r="N381" s="12" t="str"/>
      <x:c r="O381" s="12" t="str"/>
      <x:c r="P381" s="12" t="str"/>
    </x:row>
    <x:row r="382" ht="57" customHeight="1">
      <x:c r="A382" s="3" t="str">
        <x:v>UI-005</x:v>
      </x:c>
      <x:c r="B382" s="3" t="str">
        <x:v>导航与通用交互</x:v>
      </x:c>
      <x:c r="C382" s="3" t="str">
        <x:v>键盘与触摸可启动卡片</x:v>
      </x:c>
      <x:c r="D382" s="3" t="str">
        <x:v>P1</x:v>
      </x:c>
      <x:c r="E382" s="3" t="str">
        <x:v>可访问性</x:v>
      </x:c>
      <x:c r="F382" s="3" t="str">
        <x:v>Web；真实登录闭环另执行</x:v>
      </x:c>
      <x:c r="G382" s="3" t="str">
        <x:v>桌面1440px和移动390px；中文/英文；键盘和触摸；可模拟离线与慢响应。</x:v>
      </x:c>
      <x:c r="H382" s="3" t="str">
        <x:v>无鼠标hover；键盘Tab/Enter与触摸</x:v>
      </x:c>
      <x:c r="I382" s="3" t="str">
        <x:v>1. 聚焦卡片及召唤/去使用
2. 激活操作</x:v>
      </x:c>
      <x:c r="J382" s="3" t="str">
        <x:v>1. 动作不依赖hover
2. 可分别打开详情与新会话
3. 焦点可见</x:v>
      </x:c>
      <x:c r="K382" s="3" t="str">
        <x:v>S01;S21</x:v>
      </x:c>
      <x:c r="L382" s="3" t="str">
        <x:v>实现路径存在，待执行验收</x:v>
      </x:c>
      <x:c r="M382" s="12" t="str">
        <x:v>未执行</x:v>
      </x:c>
      <x:c r="N382" s="12" t="str"/>
      <x:c r="O382" s="12" t="str"/>
      <x:c r="P382" s="12" t="str"/>
    </x:row>
    <x:row r="383" ht="57" customHeight="1">
      <x:c r="A383" s="3" t="str">
        <x:v>UI-006</x:v>
      </x:c>
      <x:c r="B383" s="3" t="str">
        <x:v>导航与通用交互</x:v>
      </x:c>
      <x:c r="C383" s="3" t="str">
        <x:v>手机主要流程可用</x:v>
      </x:c>
      <x:c r="D383" s="3" t="str">
        <x:v>P0</x:v>
      </x:c>
      <x:c r="E383" s="3" t="str">
        <x:v>响应式</x:v>
      </x:c>
      <x:c r="F383" s="3" t="str">
        <x:v>Web；真实登录闭环另执行</x:v>
      </x:c>
      <x:c r="G383" s="3" t="str">
        <x:v>桌面1440px和移动390px；中文/英文；键盘和触摸；可模拟离线与慢响应。</x:v>
      </x:c>
      <x:c r="H383" s="3" t="str">
        <x:v>390px宽；含长中文/长文件名</x:v>
      </x:c>
      <x:c r="I383" s="3" t="str">
        <x:v>1. 登录、发送、停止、建Workflow、资源选择、设置保存</x:v>
      </x:c>
      <x:c r="J383" s="3" t="str">
        <x:v>1. 主要控件可见可点
2. 无遮挡输入或无法退出的弹层
3. 长文本可读</x:v>
      </x:c>
      <x:c r="K383" s="3" t="str">
        <x:v>S01;S21</x:v>
      </x:c>
      <x:c r="L383" s="3" t="str">
        <x:v>实现路径存在，待执行验收</x:v>
      </x:c>
      <x:c r="M383" s="12" t="str">
        <x:v>未执行</x:v>
      </x:c>
      <x:c r="N383" s="12" t="str">
        <x:v>部分步骤证据：E2E-030 通过。完整结果见“E2E执行”。未执行全部原用例步骤，不据此标记整条通过。</x:v>
      </x:c>
      <x:c r="O383" s="12" t="str"/>
      <x:c r="P383" s="12" t="str">
        <x:v>Codex / 2026-09-06 17:21 Asia/Shanghai</x:v>
      </x:c>
    </x:row>
    <x:row r="384" ht="57" customHeight="1">
      <x:c r="A384" s="3" t="str">
        <x:v>UI-007</x:v>
      </x:c>
      <x:c r="B384" s="3" t="str">
        <x:v>导航与通用交互</x:v>
      </x:c>
      <x:c r="C384" s="3" t="str">
        <x:v>成功失败 Toast 统一</x:v>
      </x:c>
      <x:c r="D384" s="3" t="str">
        <x:v>P2</x:v>
      </x:c>
      <x:c r="E384" s="3" t="str">
        <x:v>反馈</x:v>
      </x:c>
      <x:c r="F384" s="3" t="str">
        <x:v>Web；真实登录闭环另执行</x:v>
      </x:c>
      <x:c r="G384" s="3" t="str">
        <x:v>桌面1440px和移动390px；中文/英文；键盘和触摸；可模拟离线与慢响应。</x:v>
      </x:c>
      <x:c r="H384" s="3" t="str">
        <x:v>保存成功与API失败；当前有模态框</x:v>
      </x:c>
      <x:c r="I384" s="3" t="str">
        <x:v>1. 触发两类操作
2. 手动关闭
3. 再等自动关闭</x:v>
      </x:c>
      <x:c r="J384" s="3" t="str">
        <x:v>1. Toast在模态层上方
2. 失败使用可访问alert
3. 能手动/自动消失</x:v>
      </x:c>
      <x:c r="K384" s="3" t="str">
        <x:v>S01;S21</x:v>
      </x:c>
      <x:c r="L384" s="3" t="str">
        <x:v>实现路径存在，待执行验收</x:v>
      </x:c>
      <x:c r="M384" s="12" t="str">
        <x:v>未执行</x:v>
      </x:c>
      <x:c r="N384" s="12" t="str"/>
      <x:c r="O384" s="12" t="str"/>
      <x:c r="P384" s="12" t="str"/>
    </x:row>
    <x:row r="385" ht="42" customHeight="1">
      <x:c r="A385" s="3" t="str">
        <x:v>UI-008</x:v>
      </x:c>
      <x:c r="B385" s="3" t="str">
        <x:v>导航与通用交互</x:v>
      </x:c>
      <x:c r="C385" s="3" t="str">
        <x:v>持久信息不误用 Toast</x:v>
      </x:c>
      <x:c r="D385" s="3" t="str">
        <x:v>P1</x:v>
      </x:c>
      <x:c r="E385" s="3" t="str">
        <x:v>反馈</x:v>
      </x:c>
      <x:c r="F385" s="3" t="str">
        <x:v>Web；真实登录闭环另执行</x:v>
      </x:c>
      <x:c r="G385" s="3" t="str">
        <x:v>桌面1440px和移动390px；中文/英文；键盘和触摸；可模拟离线与慢响应。</x:v>
      </x:c>
      <x:c r="H385" s="3" t="str">
        <x:v>一次性API Secret、初始设置引导、Git克隆反馈</x:v>
      </x:c>
      <x:c r="I385" s="3" t="str">
        <x:v>1. 触发对应场景
2. 等待Toast超时</x:v>
      </x:c>
      <x:c r="J385" s="3" t="str">
        <x:v>1. 业务必需信息留在页面
2. 不因提示自动消失无法继续操作</x:v>
      </x:c>
      <x:c r="K385" s="3" t="str">
        <x:v>S01;S21</x:v>
      </x:c>
      <x:c r="L385" s="3" t="str">
        <x:v>实现路径存在，待执行验收</x:v>
      </x:c>
      <x:c r="M385" s="12" t="str">
        <x:v>未执行</x:v>
      </x:c>
      <x:c r="N385" s="12" t="str"/>
      <x:c r="O385" s="12" t="str"/>
      <x:c r="P385" s="12" t="str"/>
    </x:row>
    <x:row r="386" ht="57" customHeight="1">
      <x:c r="A386" s="3" t="str">
        <x:v>UI-009</x:v>
      </x:c>
      <x:c r="B386" s="3" t="str">
        <x:v>导航与通用交互</x:v>
      </x:c>
      <x:c r="C386" s="3" t="str">
        <x:v>空列表与无搜索结果</x:v>
      </x:c>
      <x:c r="D386" s="3" t="str">
        <x:v>P2</x:v>
      </x:c>
      <x:c r="E386" s="3" t="str">
        <x:v>交互</x:v>
      </x:c>
      <x:c r="F386" s="3" t="str">
        <x:v>Web；真实登录闭环另执行</x:v>
      </x:c>
      <x:c r="G386" s="3" t="str">
        <x:v>桌面1440px和移动390px；中文/英文；键盘和触摸；可模拟离线与慢响应。</x:v>
      </x:c>
      <x:c r="H386" s="3" t="str">
        <x:v>无Sessions/Workflows/Experts/Skills</x:v>
      </x:c>
      <x:c r="I386" s="3" t="str">
        <x:v>1. 逐页打开
2. 在已有列表搜索无匹配词</x:v>
      </x:c>
      <x:c r="J386" s="3" t="str">
        <x:v>1. 空态解释并提供适用入口
2. 无结果可清筛选
3. 不报运行异常</x:v>
      </x:c>
      <x:c r="K386" s="3" t="str">
        <x:v>S01;S21</x:v>
      </x:c>
      <x:c r="L386" s="3" t="str">
        <x:v>实现路径存在，待执行验收</x:v>
      </x:c>
      <x:c r="M386" s="12" t="str">
        <x:v>未执行</x:v>
      </x:c>
      <x:c r="N386" s="12" t="str"/>
      <x:c r="O386" s="12" t="str"/>
      <x:c r="P386" s="12" t="str"/>
    </x:row>
    <x:row r="387" ht="57" customHeight="1">
      <x:c r="A387" s="3" t="str">
        <x:v>UI-010</x:v>
      </x:c>
      <x:c r="B387" s="3" t="str">
        <x:v>导航与通用交互</x:v>
      </x:c>
      <x:c r="C387" s="3" t="str">
        <x:v>离线保存和上传恢复</x:v>
      </x:c>
      <x:c r="D387" s="3" t="str">
        <x:v>P1</x:v>
      </x:c>
      <x:c r="E387" s="3" t="str">
        <x:v>恢复</x:v>
      </x:c>
      <x:c r="F387" s="3" t="str">
        <x:v>Web；真实登录闭环另执行</x:v>
      </x:c>
      <x:c r="G387" s="3" t="str">
        <x:v>桌面1440px和移动390px；中文/英文；键盘和触摸；可模拟离线与慢响应。</x:v>
      </x:c>
      <x:c r="H387" s="3" t="str">
        <x:v>已有表单和消息草稿</x:v>
      </x:c>
      <x:c r="I387" s="3" t="str">
        <x:v>1. 断网提交保存/上传/发送
2. 恢复网络重试</x:v>
      </x:c>
      <x:c r="J387" s="3" t="str">
        <x:v>1. 错误明确且不丢输入
2. 按钮恢复可用
3. 不虚报成功</x:v>
      </x:c>
      <x:c r="K387" s="3" t="str">
        <x:v>S01;S21</x:v>
      </x:c>
      <x:c r="L387" s="3" t="str">
        <x:v>实现路径存在，待执行验收</x:v>
      </x:c>
      <x:c r="M387" s="12" t="str">
        <x:v>未执行</x:v>
      </x:c>
      <x:c r="N387" s="12" t="str"/>
      <x:c r="O387" s="12" t="str"/>
      <x:c r="P387" s="12" t="str"/>
    </x:row>
    <x:row r="388" ht="42" customHeight="1">
      <x:c r="A388" s="3" t="str">
        <x:v>UI-011</x:v>
      </x:c>
      <x:c r="B388" s="3" t="str">
        <x:v>导航与通用交互</x:v>
      </x:c>
      <x:c r="C388" s="3" t="str">
        <x:v>中文英文文案完整</x:v>
      </x:c>
      <x:c r="D388" s="3" t="str">
        <x:v>P1</x:v>
      </x:c>
      <x:c r="E388" s="3" t="str">
        <x:v>国际化</x:v>
      </x:c>
      <x:c r="F388" s="3" t="str">
        <x:v>Web；真实登录闭环另执行</x:v>
      </x:c>
      <x:c r="G388" s="3" t="str">
        <x:v>桌面1440px和移动390px；中文/英文；键盘和触摸；可模拟离线与慢响应。</x:v>
      </x:c>
      <x:c r="H388" s="3" t="str">
        <x:v>切换两语言后覆盖主要页和错误</x:v>
      </x:c>
      <x:c r="I388" s="3" t="str">
        <x:v>1. 检查按钮、状态、时间、审批、积分、Git错误</x:v>
      </x:c>
      <x:c r="J388" s="3" t="str">
        <x:v>1. 无缺失key或中英混杂关键文案
2. 相同业务含义保持</x:v>
      </x:c>
      <x:c r="K388" s="3" t="str">
        <x:v>S01;S21</x:v>
      </x:c>
      <x:c r="L388" s="3" t="str">
        <x:v>实现路径存在，待执行验收</x:v>
      </x:c>
      <x:c r="M388" s="12" t="str">
        <x:v>未执行</x:v>
      </x:c>
      <x:c r="N388" s="12" t="str"/>
      <x:c r="O388" s="12" t="str"/>
      <x:c r="P388" s="12" t="str"/>
    </x:row>
    <x:row r="389" ht="57" customHeight="1">
      <x:c r="A389" s="3" t="str">
        <x:v>UI-012</x:v>
      </x:c>
      <x:c r="B389" s="3" t="str">
        <x:v>导航与通用交互</x:v>
      </x:c>
      <x:c r="C389" s="3" t="str">
        <x:v>无效路由与刷新恢复</x:v>
      </x:c>
      <x:c r="D389" s="3" t="str">
        <x:v>P2</x:v>
      </x:c>
      <x:c r="E389" s="3" t="str">
        <x:v>导航</x:v>
      </x:c>
      <x:c r="F389" s="3" t="str">
        <x:v>Web；真实登录闭环另执行</x:v>
      </x:c>
      <x:c r="G389" s="3" t="str">
        <x:v>桌面1440px和移动390px；中文/英文；键盘和触摸；可模拟离线与慢响应。</x:v>
      </x:c>
      <x:c r="H389" s="3" t="str">
        <x:v>详情深链和不存在路径</x:v>
      </x:c>
      <x:c r="I389" s="3" t="str">
        <x:v>1. 直接打开合法详情并刷新
2. 打开未知路由</x:v>
      </x:c>
      <x:c r="J389" s="3" t="str">
        <x:v>1. 合法路由正常加载
2. 未知路径回Sessions
3. 不泄漏其他用户深链内容</x:v>
      </x:c>
      <x:c r="K389" s="3" t="str">
        <x:v>S01;S21</x:v>
      </x:c>
      <x:c r="L389" s="3" t="str">
        <x:v>实现路径存在，待执行验收</x:v>
      </x:c>
      <x:c r="M389" s="12" t="str">
        <x:v>未执行</x:v>
      </x:c>
      <x:c r="N389" s="12" t="str"/>
      <x:c r="O389" s="12" t="str"/>
      <x:c r="P389" s="12" t="str"/>
    </x:row>
    <x:row r="390" ht="57" customHeight="1">
      <x:c r="A390" s="3" t="str">
        <x:v>OPS-001</x:v>
      </x:c>
      <x:c r="B390" s="3" t="str">
        <x:v>部署配置与运维验收</x:v>
      </x:c>
      <x:c r="C390" s="3" t="str">
        <x:v>健康与就绪端点</x:v>
      </x:c>
      <x:c r="D390" s="3" t="str">
        <x:v>P0</x:v>
      </x:c>
      <x:c r="E390" s="3" t="str">
        <x:v>可用性</x:v>
      </x:c>
      <x:c r="F390" s="3" t="str">
        <x:v>CLI + PostgreSQL；生产级门禁需 E2/E4</x:v>
      </x:c>
      <x:c r="G390" s="3" t="str">
        <x:v>独立测试部署、非生产数据库备份；配置与证据中不记录真实Secret。</x:v>
      </x:c>
      <x:c r="H390" s="3" t="str">
        <x:v>API及依赖正常/数据库不可达</x:v>
      </x:c>
      <x:c r="I390" s="3" t="str">
        <x:v>1. 请求 /healthz、/readyz
2. 断开测试依赖再检查</x:v>
      </x:c>
      <x:c r="J390" s="3" t="str">
        <x:v>1. 正常返回对应ok/ready
2. 依赖异常不伪报就绪
3. 服务健康与执行验收区分</x:v>
      </x:c>
      <x:c r="K390" s="3" t="str">
        <x:v>S20;S22</x:v>
      </x:c>
      <x:c r="L390" s="3" t="str">
        <x:v>实现路径存在，待执行验收</x:v>
      </x:c>
      <x:c r="M390" s="12" t="str">
        <x:v>未执行</x:v>
      </x:c>
      <x:c r="N390" s="12" t="str">
        <x:v>部分步骤证据：E2E-042 通过。完整结果见“E2E执行”。未执行全部原用例步骤，不据此标记整条通过。</x:v>
      </x:c>
      <x:c r="O390" s="12" t="str"/>
      <x:c r="P390" s="12" t="str">
        <x:v>Codex / 2026-09-06 17:21 Asia/Shanghai</x:v>
      </x:c>
    </x:row>
    <x:row r="391" ht="42" customHeight="1">
      <x:c r="A391" s="3" t="str">
        <x:v>OPS-002</x:v>
      </x:c>
      <x:c r="B391" s="3" t="str">
        <x:v>部署配置与运维验收</x:v>
      </x:c>
      <x:c r="C391" s="3" t="str">
        <x:v>严格 YAML 配置校验</x:v>
      </x:c>
      <x:c r="D391" s="3" t="str">
        <x:v>P0</x:v>
      </x:c>
      <x:c r="E391" s="3" t="str">
        <x:v>配置</x:v>
      </x:c>
      <x:c r="F391" s="3" t="str">
        <x:v>CLI + PostgreSQL；生产级门禁需 E2/E4</x:v>
      </x:c>
      <x:c r="G391" s="3" t="str">
        <x:v>独立测试部署、非生产数据库备份；配置与证据中不记录真实Secret。</x:v>
      </x:c>
      <x:c r="H391" s="3" t="str">
        <x:v>未知字段、缺必填、非法Provider或Runtime</x:v>
      </x:c>
      <x:c r="I391" s="3" t="str">
        <x:v>1. 逐项加载API/Worker测试配置</x:v>
      </x:c>
      <x:c r="J391" s="3" t="str">
        <x:v>1. 启动前给出可定位错误
2. 不忽略拼写或不安全值</x:v>
      </x:c>
      <x:c r="K391" s="3" t="str">
        <x:v>S20;S22</x:v>
      </x:c>
      <x:c r="L391" s="3" t="str">
        <x:v>实现路径存在，待执行验收</x:v>
      </x:c>
      <x:c r="M391" s="12" t="str">
        <x:v>未执行</x:v>
      </x:c>
      <x:c r="N391" s="12" t="str"/>
      <x:c r="O391" s="12" t="str"/>
      <x:c r="P391" s="12" t="str"/>
    </x:row>
    <x:row r="392" ht="57" customHeight="1">
      <x:c r="A392" s="3" t="str">
        <x:v>OPS-003</x:v>
      </x:c>
      <x:c r="B392" s="3" t="str">
        <x:v>部署配置与运维验收</x:v>
      </x:c>
      <x:c r="C392" s="3" t="str">
        <x:v>完整迁移链与重复启动</x:v>
      </x:c>
      <x:c r="D392" s="3" t="str">
        <x:v>P0</x:v>
      </x:c>
      <x:c r="E392" s="3" t="str">
        <x:v>兼容</x:v>
      </x:c>
      <x:c r="F392" s="3" t="str">
        <x:v>CLI + PostgreSQL；生产级门禁需 E2/E4</x:v>
      </x:c>
      <x:c r="G392" s="3" t="str">
        <x:v>独立测试部署、非生产数据库备份；配置与证据中不记录真实Secret。</x:v>
      </x:c>
      <x:c r="H392" s="3" t="str">
        <x:v>空PostgreSQL与已有旧版本数据各一份</x:v>
      </x:c>
      <x:c r="I392" s="3" t="str">
        <x:v>1. 应用完整Migration
2. 再启动一次
3. 校验schema和ledger</x:v>
      </x:c>
      <x:c r="J392" s="3" t="str">
        <x:v>1. 不可变迁移顺序正确
2. 不重复执行已完成迁移
3. 现有业务数据保留</x:v>
      </x:c>
      <x:c r="K392" s="3" t="str">
        <x:v>S20;S22</x:v>
      </x:c>
      <x:c r="L392" s="3" t="str">
        <x:v>实现路径存在，待执行验收</x:v>
      </x:c>
      <x:c r="M392" s="12" t="str">
        <x:v>未执行</x:v>
      </x:c>
      <x:c r="N392" s="12" t="str"/>
      <x:c r="O392" s="12" t="str"/>
      <x:c r="P392" s="12" t="str"/>
    </x:row>
    <x:row r="393" ht="72" customHeight="1">
      <x:c r="A393" s="3" t="str">
        <x:v>OPS-004</x:v>
      </x:c>
      <x:c r="B393" s="3" t="str">
        <x:v>部署配置与运维验收</x:v>
      </x:c>
      <x:c r="C393" s="3" t="str">
        <x:v>专家与团队增量迁移</x:v>
      </x:c>
      <x:c r="D393" s="3" t="str">
        <x:v>P0</x:v>
      </x:c>
      <x:c r="E393" s="3" t="str">
        <x:v>兼容</x:v>
      </x:c>
      <x:c r="F393" s="3" t="str">
        <x:v>CLI + PostgreSQL；生产级门禁需 E2/E4</x:v>
      </x:c>
      <x:c r="G393" s="3" t="str">
        <x:v>独立测试部署、非生产数据库备份；配置与证据中不记录真实Secret。</x:v>
      </x:c>
      <x:c r="H393" s="3" t="str">
        <x:v>旧指导字段、旧团队位置及历史快照</x:v>
      </x:c>
      <x:c r="I393" s="3" t="str">
        <x:v>1. 升级Migration
2. 查看新资料与历史执行</x:v>
      </x:c>
      <x:c r="J393" s="3" t="str">
        <x:v>1. 指导按约定迁移
2. 缺字段标不完整
3. 成员形成稳定ID
4. 历史快照兼容读取</x:v>
      </x:c>
      <x:c r="K393" s="3" t="str">
        <x:v>S20;S22</x:v>
      </x:c>
      <x:c r="L393" s="3" t="str">
        <x:v>实现路径存在，待执行验收</x:v>
      </x:c>
      <x:c r="M393" s="12" t="str">
        <x:v>未执行</x:v>
      </x:c>
      <x:c r="N393" s="12" t="str"/>
      <x:c r="O393" s="12" t="str"/>
      <x:c r="P393" s="12" t="str"/>
    </x:row>
    <x:row r="394" ht="57" customHeight="1">
      <x:c r="A394" s="3" t="str">
        <x:v>OPS-005</x:v>
      </x:c>
      <x:c r="B394" s="3" t="str">
        <x:v>部署配置与运维验收</x:v>
      </x:c>
      <x:c r="C394" s="3" t="str">
        <x:v>会话选择持久化迁移</x:v>
      </x:c>
      <x:c r="D394" s="3" t="str">
        <x:v>P0</x:v>
      </x:c>
      <x:c r="E394" s="3" t="str">
        <x:v>兼容</x:v>
      </x:c>
      <x:c r="F394" s="3" t="str">
        <x:v>CLI + PostgreSQL；生产级门禁需 E2/E4</x:v>
      </x:c>
      <x:c r="G394" s="3" t="str">
        <x:v>独立测试部署、非生产数据库备份；配置与证据中不记录真实Secret。</x:v>
      </x:c>
      <x:c r="H394" s="3" t="str">
        <x:v>升级前有Session/Run和历史消息</x:v>
      </x:c>
      <x:c r="I394" s="3" t="str">
        <x:v>1. 应用conversation selections迁移
2. 继续旧会话并新选资源</x:v>
      </x:c>
      <x:c r="J394" s="3" t="str">
        <x:v>1. 旧内容保留
2. 新增选择按owner/conversation保存
3. 历史不被清空</x:v>
      </x:c>
      <x:c r="K394" s="3" t="str">
        <x:v>S20;S22</x:v>
      </x:c>
      <x:c r="L394" s="3" t="str">
        <x:v>实现路径存在，待执行验收</x:v>
      </x:c>
      <x:c r="M394" s="12" t="str">
        <x:v>未执行</x:v>
      </x:c>
      <x:c r="N394" s="12" t="str"/>
      <x:c r="O394" s="12" t="str"/>
      <x:c r="P394" s="12" t="str"/>
    </x:row>
    <x:row r="395" ht="72" customHeight="1">
      <x:c r="A395" s="3" t="str">
        <x:v>OPS-006</x:v>
      </x:c>
      <x:c r="B395" s="3" t="str">
        <x:v>部署配置与运维验收</x:v>
      </x:c>
      <x:c r="C395" s="3" t="str">
        <x:v>Worker 重启与普通任务收敛</x:v>
      </x:c>
      <x:c r="D395" s="3" t="str">
        <x:v>P0</x:v>
      </x:c>
      <x:c r="E395" s="3" t="str">
        <x:v>恢复</x:v>
      </x:c>
      <x:c r="F395" s="3" t="str">
        <x:v>CLI + PostgreSQL；生产级门禁需 E2/E4</x:v>
      </x:c>
      <x:c r="G395" s="3" t="str">
        <x:v>独立测试部署、非生产数据库备份；配置与证据中不记录真实Secret。</x:v>
      </x:c>
      <x:c r="H395" s="3" t="str">
        <x:v>queued/running/terminal普通Run样本</x:v>
      </x:c>
      <x:c r="I395" s="3" t="str">
        <x:v>1. 在各状态重启Worker
2. 观察领取、恢复和重复回调</x:v>
      </x:c>
      <x:c r="J395" s="3" t="str">
        <x:v>1. 按已实现恢复策略收敛
2. 终态不重新打开
3. 不重复结算
4. 审批恢复另列缺口</x:v>
      </x:c>
      <x:c r="K395" s="3" t="str">
        <x:v>S20;S22</x:v>
      </x:c>
      <x:c r="L395" s="3" t="str">
        <x:v>实现路径存在，待执行验收</x:v>
      </x:c>
      <x:c r="M395" s="12" t="str">
        <x:v>未执行</x:v>
      </x:c>
      <x:c r="N395" s="12" t="str"/>
      <x:c r="O395" s="12" t="str"/>
      <x:c r="P395" s="12" t="str"/>
    </x:row>
    <x:row r="396" ht="42" customHeight="1">
      <x:c r="A396" s="3" t="str">
        <x:v>OPS-007</x:v>
      </x:c>
      <x:c r="B396" s="3" t="str">
        <x:v>部署配置与运维验收</x:v>
      </x:c>
      <x:c r="C396" s="3" t="str">
        <x:v>对象存储 Provider 一致性</x:v>
      </x:c>
      <x:c r="D396" s="3" t="str">
        <x:v>P0</x:v>
      </x:c>
      <x:c r="E396" s="3" t="str">
        <x:v>兼容</x:v>
      </x:c>
      <x:c r="F396" s="3" t="str">
        <x:v>CLI + PostgreSQL；生产级门禁需 E2/E4</x:v>
      </x:c>
      <x:c r="G396" s="3" t="str">
        <x:v>独立测试部署、非生产数据库备份；配置与证据中不记录真实Secret。</x:v>
      </x:c>
      <x:c r="H396" s="3" t="str">
        <x:v>Memory、MinIO、Aliyun OSS测试配置</x:v>
      </x:c>
      <x:c r="I396" s="3" t="str">
        <x:v>1. 执行共享Conformance及远端集成
2. 记录skip与通过</x:v>
      </x:c>
      <x:c r="J396" s="3" t="str">
        <x:v>1. 相同行为契约
2. 远端无环境必须记未执行/阻塞，不能把Skip算通过</x:v>
      </x:c>
      <x:c r="K396" s="3" t="str">
        <x:v>S20;S22</x:v>
      </x:c>
      <x:c r="L396" s="3" t="str">
        <x:v>实现路径存在，待执行验收</x:v>
      </x:c>
      <x:c r="M396" s="12" t="str">
        <x:v>未执行</x:v>
      </x:c>
      <x:c r="N396" s="12" t="str"/>
      <x:c r="O396" s="12" t="str"/>
      <x:c r="P396" s="12" t="str"/>
    </x:row>
    <x:row r="397" ht="72" customHeight="1">
      <x:c r="A397" s="3" t="str">
        <x:v>OPS-008</x:v>
      </x:c>
      <x:c r="B397" s="3" t="str">
        <x:v>部署配置与运维验收</x:v>
      </x:c>
      <x:c r="C397" s="3" t="str">
        <x:v>备份恢复验证</x:v>
      </x:c>
      <x:c r="D397" s="3" t="str">
        <x:v>P0</x:v>
      </x:c>
      <x:c r="E397" s="3" t="str">
        <x:v>恢复</x:v>
      </x:c>
      <x:c r="F397" s="3" t="str">
        <x:v>CLI + PostgreSQL；生产级门禁需 E2/E4</x:v>
      </x:c>
      <x:c r="G397" s="3" t="str">
        <x:v>独立测试部署、非生产数据库备份；配置与证据中不记录真实Secret。</x:v>
      </x:c>
      <x:c r="H397" s="3" t="str">
        <x:v>脱敏测试库完整备份与文件校验清单</x:v>
      </x:c>
      <x:c r="I397" s="3" t="str">
        <x:v>1. 备份
2. 校验摘要
3. 恢复到空测试库
4. 核对资源和账本</x:v>
      </x:c>
      <x:c r="J397" s="3" t="str">
        <x:v>1. 能实际恢复而非仅列备份目录
2. 业务/身份数据一致
3. 无凭据进入报告</x:v>
      </x:c>
      <x:c r="K397" s="3" t="str">
        <x:v>S20;S22</x:v>
      </x:c>
      <x:c r="L397" s="3" t="str">
        <x:v>实现路径存在，待执行验收</x:v>
      </x:c>
      <x:c r="M397" s="12" t="str">
        <x:v>未执行</x:v>
      </x:c>
      <x:c r="N397" s="12" t="str"/>
      <x:c r="O397" s="12" t="str"/>
      <x:c r="P397" s="12" t="str"/>
    </x:row>
    <x:row r="398" ht="42" customHeight="1">
      <x:c r="A398" s="3" t="str">
        <x:v>OPS-009</x:v>
      </x:c>
      <x:c r="B398" s="3" t="str">
        <x:v>部署配置与运维验收</x:v>
      </x:c>
      <x:c r="C398" s="3" t="str">
        <x:v>Production preflight 门禁</x:v>
      </x:c>
      <x:c r="D398" s="3" t="str">
        <x:v>P0</x:v>
      </x:c>
      <x:c r="E398" s="3" t="str">
        <x:v>环境</x:v>
      </x:c>
      <x:c r="F398" s="3" t="str">
        <x:v>CLI + PostgreSQL；生产级门禁需 E2/E4</x:v>
      </x:c>
      <x:c r="G398" s="3" t="str">
        <x:v>独立测试部署、非生产数据库备份；配置与证据中不记录真实Secret。</x:v>
      </x:c>
      <x:c r="H398" s="3" t="str">
        <x:v>目标Linux Worker、Docker、runsc、镜像RepoDigest</x:v>
      </x:c>
      <x:c r="I398" s="3" t="str">
        <x:v>1. 先执行preflight
2. 仅满足后运行sandbox/production conformance</x:v>
      </x:c>
      <x:c r="J398" s="3" t="str">
        <x:v>1. 环境不满足时停止并保留原因
2. macOS测试不能替代Linux隔离验收</x:v>
      </x:c>
      <x:c r="K398" s="3" t="str">
        <x:v>S20;S22</x:v>
      </x:c>
      <x:c r="L398" s="3" t="str">
        <x:v>实现路径存在，待执行验收</x:v>
      </x:c>
      <x:c r="M398" s="12" t="str">
        <x:v>未执行</x:v>
      </x:c>
      <x:c r="N398" s="12" t="str">
        <x:v>部分步骤证据：E2E-034 阻塞。完整结果见“E2E执行”。未执行全部原用例步骤，不据此标记整条通过。</x:v>
      </x:c>
      <x:c r="O398" s="12" t="str"/>
      <x:c r="P398" s="12" t="str">
        <x:v>Codex / 2026-09-06 17:21 Asia/Shanghai</x:v>
      </x:c>
    </x:row>
    <x:row r="399" ht="42" customHeight="1">
      <x:c r="A399" s="3" t="str">
        <x:v>OPS-010</x:v>
      </x:c>
      <x:c r="B399" s="3" t="str">
        <x:v>部署配置与运维验收</x:v>
      </x:c>
      <x:c r="C399" s="3" t="str">
        <x:v>发布证据与功能通过区分</x:v>
      </x:c>
      <x:c r="D399" s="3" t="str">
        <x:v>P1</x:v>
      </x:c>
      <x:c r="E399" s="3" t="str">
        <x:v>审计</x:v>
      </x:c>
      <x:c r="F399" s="3" t="str">
        <x:v>CLI + PostgreSQL；生产级门禁需 E2/E4</x:v>
      </x:c>
      <x:c r="G399" s="3" t="str">
        <x:v>独立测试部署、非生产数据库备份；配置与证据中不记录真实Secret。</x:v>
      </x:c>
      <x:c r="H399" s="3" t="str">
        <x:v>2026-09-06已记录部署证据与本基线</x:v>
      </x:c>
      <x:c r="I399" s="3" t="str">
        <x:v>1. 比对source commit、migration和健康证据
2. 核对认证业务与Runtime证据</x:v>
      </x:c>
      <x:c r="J399" s="3" t="str">
        <x:v>1. 部署健康不等于全部用例通过
2. 仅真实执行且留日志/时间/Digest的检查可登记通过</x:v>
      </x:c>
      <x:c r="K399" s="3" t="str">
        <x:v>S20;S22</x:v>
      </x:c>
      <x:c r="L399" s="3" t="str">
        <x:v>实现路径存在，待执行验收</x:v>
      </x:c>
      <x:c r="M399" s="12" t="str">
        <x:v>未执行</x:v>
      </x:c>
      <x:c r="N399" s="12" t="str"/>
      <x:c r="O399" s="12" t="str"/>
      <x:c r="P399" s="12" t="str"/>
    </x:row>
  </x:sheetData>
  <x:conditionalFormatting sqref="M5:M399">
    <x:cfRule type="containsText" dxfId="0" priority="1" operator="containsText" text="失败"/>
    <x:cfRule type="containsText" dxfId="1" priority="2" operator="containsText" text="通过"/>
    <x:cfRule type="containsText" dxfId="2" priority="3" operator="containsText" text="阻塞"/>
  </x:conditionalFormatting>
  <x:conditionalFormatting sqref="D5:D399">
    <x:cfRule type="containsText" dxfId="3" priority="4" operator="containsText" text="P0"/>
  </x:conditionalFormatting>
  <x:dataValidations count="2">
    <x:dataValidation type="list" sqref="M5:M399">
      <x:formula1>"未执行,通过,失败,阻塞,不适用"</x:formula1>
    </x:dataValidation>
    <x:dataValidation type="list" sqref="D5:D39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f39085109e44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76" hidden="0" customWidth="1"/>
    <x:col min="4" max="4" width="76" hidden="0" customWidth="1"/>
    <x:col min="5" max="5" width="70" hidden="0" customWidth="1"/>
  </x:cols>
  <x:sheetData>
    <x:row r="1" ht="30" customHeight="1">
      <x:c r="A1" s="5" t="str">
        <x:v>测试数据与准备</x:v>
      </x:c>
      <x:c r="B1" s="3"/>
      <x:c r="C1" s="3"/>
      <x:c r="D1" s="3"/>
      <x:c r="E1" s="3"/>
    </x:row>
    <x:row r="2" ht="24" customHeight="1">
      <x:c r="A2" s="7" t="str">
        <x:v>全部为测试专用样例；准备后记录真实资源ID，勿记录Secret明文</x:v>
      </x:c>
      <x:c r="B2" s="3"/>
      <x:c r="C2" s="3"/>
      <x:c r="D2" s="3"/>
      <x:c r="E2" s="3"/>
    </x:row>
    <x:row r="3">
      <x:c r="A3" s="8"/>
      <x:c r="B3" s="8"/>
      <x:c r="C3" s="8"/>
      <x:c r="D3" s="8"/>
      <x:c r="E3" s="8"/>
    </x:row>
    <x:row r="4" ht="32" customHeight="1">
      <x:c r="A4" s="11" t="str">
        <x:v>数据编号</x:v>
      </x:c>
      <x:c r="B4" s="11" t="str">
        <x:v>数据类别</x:v>
      </x:c>
      <x:c r="C4" s="11" t="str">
        <x:v>准备内容</x:v>
      </x:c>
      <x:c r="D4" s="11" t="str">
        <x:v>核对要点</x:v>
      </x:c>
      <x:c r="E4" s="11" t="str">
        <x:v>清理与注意</x:v>
      </x:c>
    </x:row>
    <x:row r="5" ht="36" customHeight="1">
      <x:c r="A5" s="3" t="str">
        <x:v>D01</x:v>
      </x:c>
      <x:c r="B5" s="3" t="str">
        <x:v>账号</x:v>
      </x:c>
      <x:c r="C5" s="3" t="str">
        <x:v>Admin、qa_a、qa_b；邮箱使用example.test；分别建立独立浏览器会话。</x:v>
      </x:c>
      <x:c r="D5" s="3" t="str">
        <x:v>Admin可管理账号/目录，A/B互相不可见；首次登录用户另建一份。</x:v>
      </x:c>
      <x:c r="E5" s="3" t="str">
        <x:v>创建/重置密码由测试人员在Keycloak完成；不写入执行表。</x:v>
      </x:c>
    </x:row>
    <x:row r="6" ht="36" customHeight="1">
      <x:c r="A6" s="3" t="str">
        <x:v>D02</x:v>
      </x:c>
      <x:c r="B6" s="3" t="str">
        <x:v>模型与Runtime</x:v>
      </x:c>
      <x:c r="C6" s="3" t="str">
        <x:v>R1/M1可用，R2/M2另一配置；unverified/incompatible/unavailable各一份。</x:v>
      </x:c>
      <x:c r="D6" s="3" t="str">
        <x:v>准备recording Executor；真实调用记录固定镜像RepoDigest和协议。</x:v>
      </x:c>
      <x:c r="E6" s="3" t="str">
        <x:v>不使用真实Key作为文档样例。</x:v>
      </x:c>
    </x:row>
    <x:row r="7" ht="36" customHeight="1">
      <x:c r="A7" s="3" t="str">
        <x:v>D03</x:v>
      </x:c>
      <x:c r="B7" s="3" t="str">
        <x:v>专家与团队</x:v>
      </x:c>
      <x:c r="C7" s="3" t="str">
        <x:v>E1默认S1/C1，E2默认S2/C2；T1含M1/M2；重复Expert角色另建T2。</x:v>
      </x:c>
      <x:c r="D7" s="3" t="str">
        <x:v>每个指导字段放独立标记；v1/v2修订可核对；不完整专家保留。</x:v>
      </x:c>
      <x:c r="E7" s="3" t="str">
        <x:v>用带QA前缀的资源，避免混入真实目录。</x:v>
      </x:c>
    </x:row>
    <x:row r="8" ht="36" customHeight="1">
      <x:c r="A8" s="3" t="str">
        <x:v>D04</x:v>
      </x:c>
      <x:c r="B8" s="3" t="str">
        <x:v>Skills</x:v>
      </x:c>
      <x:c r="C8" s="3" t="str">
        <x:v>S1 v1/v2、合法根ZIP、单顶层ZIP、macOS元数据ZIP及恶意fixture。</x:v>
      </x:c>
      <x:c r="D8" s="3" t="str">
        <x:v>比较规范化后文件列表、大小、小写SHA-256；每阶段50MiB边界。</x:v>
      </x:c>
      <x:c r="E8" s="3" t="str">
        <x:v>恶意包只交给隔离验证，不在宿主手工执行。</x:v>
      </x:c>
    </x:row>
    <x:row r="9" ht="36" customHeight="1">
      <x:c r="A9" s="3" t="str">
        <x:v>D05</x:v>
      </x:c>
      <x:c r="B9" s="3" t="str">
        <x:v>MCP与CLI</x:v>
      </x:c>
      <x:c r="C9" s="3" t="str">
        <x:v>可控HTTPS MCP、固定npx/uvx包；CLI draft/failed/available/disabled。</x:v>
      </x:c>
      <x:c r="D9" s="3" t="str">
        <x:v>接口可模拟认证/超时/协议失败；CLI需bundle和Runtime联合验证。</x:v>
      </x:c>
      <x:c r="E9" s="3" t="str">
        <x:v>外部业务写命令只允许测试对象。</x:v>
      </x:c>
    </x:row>
    <x:row r="10" ht="36" customHeight="1">
      <x:c r="A10" s="3" t="str">
        <x:v>D06</x:v>
      </x:c>
      <x:c r="B10" s="3" t="str">
        <x:v>普通附件</x:v>
      </x:c>
      <x:c r="C10" s="3" t="str">
        <x:v>note.txt=测试附件42；PNG/JPEG；二进制；中文/空格/同名不同路径文件。</x:v>
      </x:c>
      <x:c r="D10" s="3" t="str">
        <x:v>每份固定字节及SHA-256；对象存储可注入大小/摘要错误。</x:v>
      </x:c>
      <x:c r="E10" s="3" t="str">
        <x:v>所有样本无个人信息。</x:v>
      </x:c>
    </x:row>
    <x:row r="11" ht="36" customHeight="1">
      <x:c r="A11" s="3" t="str">
        <x:v>D07</x:v>
      </x:c>
      <x:c r="B11" s="3" t="str">
        <x:v>附件大小与数量</x:v>
      </x:c>
      <x:c r="C11" s="3" t="str">
        <x:v>104857599/104857600/104857601字节；9/10/11份不同文件。</x:v>
      </x:c>
      <x:c r="D11" s="3" t="str">
        <x:v>分别覆盖上传、历史引用与Workspace引用混合以及重复同身份。</x:v>
      </x:c>
      <x:c r="E11" s="3" t="str">
        <x:v>超限文件按需在临时测试目录生成。</x:v>
      </x:c>
    </x:row>
    <x:row r="12" ht="36" customHeight="1">
      <x:c r="A12" s="3" t="str">
        <x:v>D08</x:v>
      </x:c>
      <x:c r="B12" s="3" t="str">
        <x:v>Workflow与Git</x:v>
      </x:c>
      <x:c r="C12" s="3" t="str">
        <x:v>W1/W2；空/非空Workspace；公开HTTPS、私有HTTPS和SSH测试仓库。</x:v>
      </x:c>
      <x:c r="D12" s="3" t="str">
        <x:v>branch正常/不存在；credentials正确/错误；known_hosts正确/缺失/变更。</x:v>
      </x:c>
      <x:c r="E12" s="3" t="str">
        <x:v>Git私钥为测试专用，测试后销毁。</x:v>
      </x:c>
    </x:row>
    <x:row r="13" ht="36" customHeight="1">
      <x:c r="A13" s="3" t="str">
        <x:v>D09</x:v>
      </x:c>
      <x:c r="B13" s="3" t="str">
        <x:v>Workspace配额</x:v>
      </x:c>
      <x:c r="C13" s="3" t="str">
        <x:v>总量1073741824及+1字节；预览1048576及+1字节。</x:v>
      </x:c>
      <x:c r="D13" s="3" t="str">
        <x:v>保留state.txt=v0；Run分别成功改v1、失败、取消以比对回滚。</x:v>
      </x:c>
      <x:c r="E13" s="3" t="str">
        <x:v>先确认磁盘空间，仅在测试Workspace中生成。</x:v>
      </x:c>
    </x:row>
    <x:row r="14" ht="36" customHeight="1">
      <x:c r="A14" s="3" t="str">
        <x:v>D10</x:v>
      </x:c>
      <x:c r="B14" s="3" t="str">
        <x:v>时间</x:v>
      </x:c>
      <x:c r="C14" s="3" t="str">
        <x:v>可控午夜、Asia/Shanghai和UTC；Token15分钟、登录72小时、暖复用30分钟。</x:v>
      </x:c>
      <x:c r="D14" s="3" t="str">
        <x:v>Artifact90天；审批默认5分钟、上限15分钟；另覆盖时区变更。</x:v>
      </x:c>
      <x:c r="E14" s="3" t="str">
        <x:v>采用注入时钟或独立环境，勿修改用户主机系统时间。</x:v>
      </x:c>
    </x:row>
    <x:row r="15" ht="36" customHeight="1">
      <x:c r="A15" s="3" t="str">
        <x:v>D11</x:v>
      </x:c>
      <x:c r="B15" s="3" t="str">
        <x:v>积分</x:v>
      </x:c>
      <x:c r="C15" s="3" t="str">
        <x:v>daily=2/persistent=5/费用3；余额0.01与费用1；跨日负额-20。</x:v>
      </x:c>
      <x:c r="D15" s="3" t="str">
        <x:v>默认600、倍数1、缺Usage10；150Token=0.02、1Token=0.01。</x:v>
      </x:c>
      <x:c r="E15" s="3" t="str">
        <x:v>精确数字用计费fake；不以真实模型随机Token作等值断言。</x:v>
      </x:c>
    </x:row>
    <x:row r="16" ht="36" customHeight="1">
      <x:c r="A16" s="3" t="str">
        <x:v>D12</x:v>
      </x:c>
      <x:c r="B16" s="3" t="str">
        <x:v>兑换码</x:v>
      </x:c>
      <x:c r="C16" s="3" t="str">
        <x:v>active/used/void/expired/随机码；批量1/100/0/101。</x:v>
      </x:c>
      <x:c r="D16" s="3" t="str">
        <x:v>并发同码跨用户只能一次成功；plaintext只创建时可见。</x:v>
      </x:c>
      <x:c r="E16" s="3" t="str">
        <x:v>兑换码明文不放执行表；记录安全identifier。</x:v>
      </x:c>
    </x:row>
    <x:row r="17" ht="36" customHeight="1">
      <x:c r="A17" s="3" t="str">
        <x:v>D13</x:v>
      </x:c>
      <x:c r="B17" s="3" t="str">
        <x:v>Secret canary</x:v>
      </x:c>
      <x:c r="C17" s="3" t="str">
        <x:v>只在独立运行时生成两个无真实权限的随机测试Secret。</x:v>
      </x:c>
      <x:c r="D17" s="3" t="str">
        <x:v>写入stdout/stderr/事件/结果/文件，包含跨块拆分输出。</x:v>
      </x:c>
      <x:c r="E17" s="3" t="str">
        <x:v>报告只记录扫描结果和canary别名，不保存真实凭据。</x:v>
      </x:c>
    </x:row>
    <x:row r="18" ht="36" customHeight="1">
      <x:c r="A18" s="3" t="str">
        <x:v>D14</x:v>
      </x:c>
      <x:c r="B18" s="3" t="str">
        <x:v>故障注入</x:v>
      </x:c>
      <x:c r="C18" s="3" t="str">
        <x:v>Provider/DB/Event Sink/网络失败；Runtime取消超时；Worker/容器重启。</x:v>
      </x:c>
      <x:c r="D18" s="3" t="str">
        <x:v>记录故障前后Run ID、stage位置、ledger条数、Workspace摘要。</x:v>
      </x:c>
      <x:c r="E18" s="3" t="str">
        <x:v>清理进程、临时文件和容器，保留脱敏证据。</x:v>
      </x:c>
    </x:row>
    <x:row r="19" ht="36" customHeight="1">
      <x:c r="A19" s="3" t="str">
        <x:v>D15</x:v>
      </x:c>
      <x:c r="B19" s="3" t="str">
        <x:v>API请求</x:v>
      </x:c>
      <x:c r="C19" s="3" t="str">
        <x:v>合法OIDC与Workflow Token；同/异body幂等key；过期/改签名token。</x:v>
      </x:c>
      <x:c r="D19" s="3" t="str">
        <x:v>JSON按序列化后字节计；text边界100000字节；Key长度200/201。</x:v>
      </x:c>
      <x:c r="E19" s="3" t="str">
        <x:v>只保存请求结构与脱敏响应，Authorization不进入表格。</x:v>
      </x:c>
    </x:row>
  </x:sheetData>
  <x:pageMargins left="0.7" right="0.7" top="0.75" bottom="0.75" header="0.3" footer="0.3"/>
  <x:tableParts count="1">
    <x:tablePart xmlns:r="http://schemas.openxmlformats.org/officeDocument/2006/relationships" r:id="R958888109e69466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86" hidden="0" customWidth="1"/>
    <x:col min="5" max="5" width="52" hidden="0" customWidth="1"/>
    <x:col min="6" max="6" width="55" hidden="0" customWidth="1"/>
    <x:col min="7" max="7" width="18" hidden="0" customWidth="1"/>
    <x:col min="8" max="8" width="40" hidden="0" customWidth="1"/>
    <x:col min="9" max="9" width="74" hidden="0" customWidth="1"/>
    <x:col min="10" max="10" width="14" hidden="0" customWidth="1"/>
    <x:col min="11" max="11" width="100" hidden="0" customWidth="1"/>
  </x:cols>
  <x:sheetData>
    <x:row r="1" ht="30" customHeight="1">
      <x:c r="A1" s="5" t="str">
        <x:v>公开 HTTP 接口清单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7" t="str">
        <x:v>103个接口 · 来自当前Protobuf及手工注册路由 · 代表用例不替代模块完整测试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32" customHeight="1">
      <x:c r="A4" s="11" t="str">
        <x:v>接口编号</x:v>
      </x:c>
      <x:c r="B4" s="11" t="str">
        <x:v>功能模块</x:v>
      </x:c>
      <x:c r="C4" s="11" t="str">
        <x:v>方法</x:v>
      </x:c>
      <x:c r="D4" s="11" t="str">
        <x:v>路径</x:v>
      </x:c>
      <x:c r="E4" s="11" t="str">
        <x:v>RPC或处理器</x:v>
      </x:c>
      <x:c r="F4" s="11" t="str">
        <x:v>认证与权限</x:v>
      </x:c>
      <x:c r="G4" s="11" t="str">
        <x:v>代表用例</x:v>
      </x:c>
      <x:c r="H4" s="11" t="str">
        <x:v>关联场景</x:v>
      </x:c>
      <x:c r="I4" s="11" t="str">
        <x:v>补充检查</x:v>
      </x:c>
      <x:c r="J4" s="11" t="str">
        <x:v>执行状态</x:v>
      </x:c>
      <x:c r="K4" s="11" t="str">
        <x:v>合同依据URL</x:v>
      </x:c>
    </x:row>
    <x:row r="5" ht="42" customHeight="1">
      <x:c r="A5" s="3" t="str">
        <x:v>HTTP-001</x:v>
      </x:c>
      <x:c r="B5" s="3" t="str">
        <x:v>会话资源选择与草稿</x:v>
      </x:c>
      <x:c r="C5" s="3" t="str">
        <x:v>GET</x:v>
      </x:c>
      <x:c r="D5" s="3" t="str">
        <x:v>/api/v1/conversation-selection</x:v>
      </x:c>
      <x:c r="E5" s="3" t="str">
        <x:v>GetConversationSelection</x:v>
      </x:c>
      <x:c r="F5" s="3" t="str">
        <x:v>当前登录User；私有资源校验owner</x:v>
      </x:c>
      <x:c r="G5" s="3" t="str">
        <x:v>SEL-001</x:v>
      </x:c>
      <x:c r="H5" s="3" t="str">
        <x:v>加号菜单资源分组</x:v>
      </x:c>
      <x:c r="I5" s="3" t="str">
        <x:v>核对列表/详情/字节与授权；缺失ID、跨owner、分页或过期按对应功能执行。</x:v>
      </x:c>
      <x:c r="J5" s="12" t="str">
        <x:v>未执行</x:v>
      </x:c>
      <x:c r="K5" s="3" t="str">
        <x:v>https://github.com/owl-go/agent-platform/blob/bb77a15d8b0cf6d760bb2e84fc3a432f7717052f/backend/api/workspace/v1/workspace.proto#L12</x:v>
      </x:c>
    </x:row>
    <x:row r="6" ht="42" customHeight="1">
      <x:c r="A6" s="3" t="str">
        <x:v>HTTP-002</x:v>
      </x:c>
      <x:c r="B6" s="3" t="str">
        <x:v>会话资源选择与草稿</x:v>
      </x:c>
      <x:c r="C6" s="3" t="str">
        <x:v>POST</x:v>
      </x:c>
      <x:c r="D6" s="3" t="str">
        <x:v>/api/v1/conversation-selection</x:v>
      </x:c>
      <x:c r="E6" s="3" t="str">
        <x:v>ResolveConversationSelection</x:v>
      </x:c>
      <x:c r="F6" s="3" t="str">
        <x:v>当前登录User；私有资源校验owner</x:v>
      </x:c>
      <x:c r="G6" s="3" t="str">
        <x:v>SEL-007</x:v>
      </x:c>
      <x:c r="H6" s="3" t="str">
        <x:v>专家选择持续到下轮</x:v>
      </x:c>
      <x:c r="I6" s="3" t="str">
        <x:v>合法输入成功持久化；非法输入不产生副作用；按合同验证版本冲突、重复请求和权限。</x:v>
      </x:c>
      <x:c r="J6" s="12" t="str">
        <x:v>未执行</x:v>
      </x:c>
      <x:c r="K6" s="3" t="str">
        <x:v>https://github.com/owl-go/agent-platform/blob/bb77a15d8b0cf6d760bb2e84fc3a432f7717052f/backend/api/workspace/v1/workspace.proto#L13</x:v>
      </x:c>
    </x:row>
    <x:row r="7" ht="42" customHeight="1">
      <x:c r="A7" s="3" t="str">
        <x:v>HTTP-003</x:v>
      </x:c>
      <x:c r="B7" s="3" t="str">
        <x:v>附件与文件引用</x:v>
      </x:c>
      <x:c r="C7" s="3" t="str">
        <x:v>GET</x:v>
      </x:c>
      <x:c r="D7" s="3" t="str">
        <x:v>/api/v1/conversation-files</x:v>
      </x:c>
      <x:c r="E7" s="3" t="str">
        <x:v>ListConversationFiles</x:v>
      </x:c>
      <x:c r="F7" s="3" t="str">
        <x:v>当前登录User；私有资源校验owner</x:v>
      </x:c>
      <x:c r="G7" s="3" t="str">
        <x:v>FIL-009</x:v>
      </x:c>
      <x:c r="H7" s="3" t="str">
        <x:v>引用本会话历史附件</x:v>
      </x:c>
      <x:c r="I7" s="3" t="str">
        <x:v>核对列表/详情/字节与授权；缺失ID、跨owner、分页或过期按对应功能执行。</x:v>
      </x:c>
      <x:c r="J7" s="12" t="str">
        <x:v>未执行</x:v>
      </x:c>
      <x:c r="K7" s="3" t="str">
        <x:v>https://github.com/owl-go/agent-platform/blob/bb77a15d8b0cf6d760bb2e84fc3a432f7717052f/backend/api/workspace/v1/workspace.proto#L14</x:v>
      </x:c>
    </x:row>
    <x:row r="8" ht="42" customHeight="1">
      <x:c r="A8" s="3" t="str">
        <x:v>HTTP-004</x:v>
      </x:c>
      <x:c r="B8" s="3" t="str">
        <x:v>Skill 安装与目录</x:v>
      </x:c>
      <x:c r="C8" s="3" t="str">
        <x:v>GET</x:v>
      </x:c>
      <x:c r="D8" s="3" t="str">
        <x:v>/api/v1/skills/{skill_id}/document</x:v>
      </x:c>
      <x:c r="E8" s="3" t="str">
        <x:v>GetSkillDocument</x:v>
      </x:c>
      <x:c r="F8" s="3" t="str">
        <x:v>当前登录User；私有资源校验owner</x:v>
      </x:c>
      <x:c r="G8" s="3" t="str">
        <x:v>SKL-015</x:v>
      </x:c>
      <x:c r="H8" s="3" t="str">
        <x:v>Skill 文档安全渲染</x:v>
      </x:c>
      <x:c r="I8" s="3" t="str">
        <x:v>核对列表/详情/字节与授权；缺失ID、跨owner、分页或过期按对应功能执行。</x:v>
      </x:c>
      <x:c r="J8" s="12" t="str">
        <x:v>未执行</x:v>
      </x:c>
      <x:c r="K8" s="3" t="str">
        <x:v>https://github.com/owl-go/agent-platform/blob/bb77a15d8b0cf6d760bb2e84fc3a432f7717052f/backend/api/workspace/v1/workspace.proto#L15</x:v>
      </x:c>
    </x:row>
    <x:row r="9" ht="42" customHeight="1">
      <x:c r="A9" s="3" t="str">
        <x:v>HTTP-005</x:v>
      </x:c>
      <x:c r="B9" s="3" t="str">
        <x:v>账号与登录</x:v>
      </x:c>
      <x:c r="C9" s="3" t="str">
        <x:v>GET</x:v>
      </x:c>
      <x:c r="D9" s="3" t="str">
        <x:v>/api/v1/me</x:v>
      </x:c>
      <x:c r="E9" s="3" t="str">
        <x:v>GetCurrentUser</x:v>
      </x:c>
      <x:c r="F9" s="3" t="str">
        <x:v>当前登录User；私有资源校验owner</x:v>
      </x:c>
      <x:c r="G9" s="3" t="str">
        <x:v>ACC-015</x:v>
      </x:c>
      <x:c r="H9" s="3" t="str">
        <x:v>短期 Access Token 自动续期</x:v>
      </x:c>
      <x:c r="I9" s="3" t="str">
        <x:v>核对列表/详情/字节与授权；缺失ID、跨owner、分页或过期按对应功能执行。</x:v>
      </x:c>
      <x:c r="J9" s="12" t="str">
        <x:v>未执行</x:v>
      </x:c>
      <x:c r="K9" s="3" t="str">
        <x:v>https://github.com/owl-go/agent-platform/blob/bb77a15d8b0cf6d760bb2e84fc3a432f7717052f/backend/api/workspace/v1/workspace.proto#L16</x:v>
      </x:c>
    </x:row>
    <x:row r="10" ht="42" customHeight="1">
      <x:c r="A10" s="3" t="str">
        <x:v>HTTP-006</x:v>
      </x:c>
      <x:c r="B10" s="3" t="str">
        <x:v>账号与登录</x:v>
      </x:c>
      <x:c r="C10" s="3" t="str">
        <x:v>GET</x:v>
      </x:c>
      <x:c r="D10" s="3" t="str">
        <x:v>/api/v1/admin/users</x:v>
      </x:c>
      <x:c r="E10" s="3" t="str">
        <x:v>ListUsers</x:v>
      </x:c>
      <x:c r="F10" s="3" t="str">
        <x:v>Administrator；管理全局/账号元数据</x:v>
      </x:c>
      <x:c r="G10" s="3" t="str">
        <x:v>ACC-001</x:v>
      </x:c>
      <x:c r="H10" s="3" t="str">
        <x:v>管理员创建普通用户</x:v>
      </x:c>
      <x:c r="I10" s="3" t="str">
        <x:v>核对列表/详情/字节与授权；缺失ID、跨owner、分页或过期按对应功能执行。</x:v>
      </x:c>
      <x:c r="J10" s="12" t="str">
        <x:v>未执行</x:v>
      </x:c>
      <x:c r="K10" s="3" t="str">
        <x:v>https://github.com/owl-go/agent-platform/blob/bb77a15d8b0cf6d760bb2e84fc3a432f7717052f/backend/api/workspace/v1/workspace.proto#L17</x:v>
      </x:c>
    </x:row>
    <x:row r="11" ht="42" customHeight="1">
      <x:c r="A11" s="3" t="str">
        <x:v>HTTP-007</x:v>
      </x:c>
      <x:c r="B11" s="3" t="str">
        <x:v>账号与登录</x:v>
      </x:c>
      <x:c r="C11" s="3" t="str">
        <x:v>POST</x:v>
      </x:c>
      <x:c r="D11" s="3" t="str">
        <x:v>/api/v1/admin/users</x:v>
      </x:c>
      <x:c r="E11" s="3" t="str">
        <x:v>CreateUser</x:v>
      </x:c>
      <x:c r="F11" s="3" t="str">
        <x:v>Administrator；管理全局/账号元数据</x:v>
      </x:c>
      <x:c r="G11" s="3" t="str">
        <x:v>ACC-001</x:v>
      </x:c>
      <x:c r="H11" s="3" t="str">
        <x:v>管理员创建普通用户</x:v>
      </x:c>
      <x:c r="I11" s="3" t="str">
        <x:v>合法输入成功持久化；非法输入不产生副作用；按合同验证版本冲突、重复请求和权限。</x:v>
      </x:c>
      <x:c r="J11" s="12" t="str">
        <x:v>未执行</x:v>
      </x:c>
      <x:c r="K11" s="3" t="str">
        <x:v>https://github.com/owl-go/agent-platform/blob/bb77a15d8b0cf6d760bb2e84fc3a432f7717052f/backend/api/workspace/v1/workspace.proto#L18</x:v>
      </x:c>
    </x:row>
    <x:row r="12" ht="42" customHeight="1">
      <x:c r="A12" s="3" t="str">
        <x:v>HTTP-008</x:v>
      </x:c>
      <x:c r="B12" s="3" t="str">
        <x:v>账号与登录</x:v>
      </x:c>
      <x:c r="C12" s="3" t="str">
        <x:v>PATCH</x:v>
      </x:c>
      <x:c r="D12" s="3" t="str">
        <x:v>/api/v1/admin/users/{user_id}/enabled</x:v>
      </x:c>
      <x:c r="E12" s="3" t="str">
        <x:v>SetUserEnabled</x:v>
      </x:c>
      <x:c r="F12" s="3" t="str">
        <x:v>Administrator；管理全局/账号元数据</x:v>
      </x:c>
      <x:c r="G12" s="3" t="str">
        <x:v>ACC-006</x:v>
      </x:c>
      <x:c r="H12" s="3" t="str">
        <x:v>停用用户的访问控制</x:v>
      </x:c>
      <x:c r="I12" s="3" t="str">
        <x:v>合法输入成功持久化；非法输入不产生副作用；按合同验证版本冲突、重复请求和权限。</x:v>
      </x:c>
      <x:c r="J12" s="12" t="str">
        <x:v>未执行</x:v>
      </x:c>
      <x:c r="K12" s="3" t="str">
        <x:v>https://github.com/owl-go/agent-platform/blob/bb77a15d8b0cf6d760bb2e84fc3a432f7717052f/backend/api/workspace/v1/workspace.proto#L19</x:v>
      </x:c>
    </x:row>
    <x:row r="13" ht="42" customHeight="1">
      <x:c r="A13" s="3" t="str">
        <x:v>HTTP-009</x:v>
      </x:c>
      <x:c r="B13" s="3" t="str">
        <x:v>账号与登录</x:v>
      </x:c>
      <x:c r="C13" s="3" t="str">
        <x:v>POST</x:v>
      </x:c>
      <x:c r="D13" s="3" t="str">
        <x:v>/api/v1/admin/users/{user_id}/password-reset</x:v>
      </x:c>
      <x:c r="E13" s="3" t="str">
        <x:v>ResetUserPassword</x:v>
      </x:c>
      <x:c r="F13" s="3" t="str">
        <x:v>Administrator；管理全局/账号元数据</x:v>
      </x:c>
      <x:c r="G13" s="3" t="str">
        <x:v>ACC-005</x:v>
      </x:c>
      <x:c r="H13" s="3" t="str">
        <x:v>管理员重置密码</x:v>
      </x:c>
      <x:c r="I13" s="3" t="str">
        <x:v>合法输入成功持久化；非法输入不产生副作用；按合同验证版本冲突、重复请求和权限。</x:v>
      </x:c>
      <x:c r="J13" s="12" t="str">
        <x:v>未执行</x:v>
      </x:c>
      <x:c r="K13" s="3" t="str">
        <x:v>https://github.com/owl-go/agent-platform/blob/bb77a15d8b0cf6d760bb2e84fc3a432f7717052f/backend/api/workspace/v1/workspace.proto#L20</x:v>
      </x:c>
    </x:row>
    <x:row r="14" ht="42" customHeight="1">
      <x:c r="A14" s="3" t="str">
        <x:v>HTTP-010</x:v>
      </x:c>
      <x:c r="B14" s="3" t="str">
        <x:v>积分与兑换</x:v>
      </x:c>
      <x:c r="C14" s="3" t="str">
        <x:v>GET</x:v>
      </x:c>
      <x:c r="D14" s="3" t="str">
        <x:v>/api/v1/credits/balance</x:v>
      </x:c>
      <x:c r="E14" s="3" t="str">
        <x:v>GetCreditBalance</x:v>
      </x:c>
      <x:c r="F14" s="3" t="str">
        <x:v>当前登录User；私有资源校验owner</x:v>
      </x:c>
      <x:c r="G14" s="3" t="str">
        <x:v>CRD-001</x:v>
      </x:c>
      <x:c r="H14" s="3" t="str">
        <x:v>新用户当日默认分配</x:v>
      </x:c>
      <x:c r="I14" s="3" t="str">
        <x:v>核对列表/详情/字节与授权；缺失ID、跨owner、分页或过期按对应功能执行。</x:v>
      </x:c>
      <x:c r="J14" s="12" t="str">
        <x:v>未执行</x:v>
      </x:c>
      <x:c r="K14" s="3" t="str">
        <x:v>https://github.com/owl-go/agent-platform/blob/bb77a15d8b0cf6d760bb2e84fc3a432f7717052f/backend/api/workspace/v1/workspace.proto#L21</x:v>
      </x:c>
    </x:row>
    <x:row r="15" ht="42" customHeight="1">
      <x:c r="A15" s="3" t="str">
        <x:v>HTTP-011</x:v>
      </x:c>
      <x:c r="B15" s="3" t="str">
        <x:v>积分与兑换</x:v>
      </x:c>
      <x:c r="C15" s="3" t="str">
        <x:v>GET</x:v>
      </x:c>
      <x:c r="D15" s="3" t="str">
        <x:v>/api/v1/credits/ledger</x:v>
      </x:c>
      <x:c r="E15" s="3" t="str">
        <x:v>ListCreditLedger</x:v>
      </x:c>
      <x:c r="F15" s="3" t="str">
        <x:v>当前登录User；私有资源校验owner</x:v>
      </x:c>
      <x:c r="G15" s="3" t="str">
        <x:v>CRD-031</x:v>
      </x:c>
      <x:c r="H15" s="3" t="str">
        <x:v>用户完整账本分页</x:v>
      </x:c>
      <x:c r="I15" s="3" t="str">
        <x:v>核对列表/详情/字节与授权；缺失ID、跨owner、分页或过期按对应功能执行。</x:v>
      </x:c>
      <x:c r="J15" s="12" t="str">
        <x:v>未执行</x:v>
      </x:c>
      <x:c r="K15" s="3" t="str">
        <x:v>https://github.com/owl-go/agent-platform/blob/bb77a15d8b0cf6d760bb2e84fc3a432f7717052f/backend/api/workspace/v1/workspace.proto#L22</x:v>
      </x:c>
    </x:row>
    <x:row r="16" ht="42" customHeight="1">
      <x:c r="A16" s="3" t="str">
        <x:v>HTTP-012</x:v>
      </x:c>
      <x:c r="B16" s="3" t="str">
        <x:v>积分与兑换</x:v>
      </x:c>
      <x:c r="C16" s="3" t="str">
        <x:v>POST</x:v>
      </x:c>
      <x:c r="D16" s="3" t="str">
        <x:v>/api/v1/credits/redemptions</x:v>
      </x:c>
      <x:c r="E16" s="3" t="str">
        <x:v>RedeemCreditCode</x:v>
      </x:c>
      <x:c r="F16" s="3" t="str">
        <x:v>当前登录User；私有资源校验owner</x:v>
      </x:c>
      <x:c r="G16" s="3" t="str">
        <x:v>CRD-025</x:v>
      </x:c>
      <x:c r="H16" s="3" t="str">
        <x:v>兑换码正常兑换</x:v>
      </x:c>
      <x:c r="I16" s="3" t="str">
        <x:v>合法输入成功持久化；非法输入不产生副作用；按合同验证版本冲突、重复请求和权限。</x:v>
      </x:c>
      <x:c r="J16" s="12" t="str">
        <x:v>未执行</x:v>
      </x:c>
      <x:c r="K16" s="3" t="str">
        <x:v>https://github.com/owl-go/agent-platform/blob/bb77a15d8b0cf6d760bb2e84fc3a432f7717052f/backend/api/workspace/v1/workspace.proto#L23</x:v>
      </x:c>
    </x:row>
    <x:row r="17" ht="42" customHeight="1">
      <x:c r="A17" s="3" t="str">
        <x:v>HTTP-013</x:v>
      </x:c>
      <x:c r="B17" s="3" t="str">
        <x:v>积分与兑换</x:v>
      </x:c>
      <x:c r="C17" s="3" t="str">
        <x:v>PATCH</x:v>
      </x:c>
      <x:c r="D17" s="3" t="str">
        <x:v>/api/v1/admin/users/{user_id}/daily-credits</x:v>
      </x:c>
      <x:c r="E17" s="3" t="str">
        <x:v>ConfigureUserDailyCredits</x:v>
      </x:c>
      <x:c r="F17" s="3" t="str">
        <x:v>Administrator；管理全局/账号元数据</x:v>
      </x:c>
      <x:c r="G17" s="3" t="str">
        <x:v>CRD-008</x:v>
      </x:c>
      <x:c r="H17" s="3" t="str">
        <x:v>管理员改日额度次日生效</x:v>
      </x:c>
      <x:c r="I17" s="3" t="str">
        <x:v>合法输入成功持久化；非法输入不产生副作用；按合同验证版本冲突、重复请求和权限。</x:v>
      </x:c>
      <x:c r="J17" s="12" t="str">
        <x:v>未执行</x:v>
      </x:c>
      <x:c r="K17" s="3" t="str">
        <x:v>https://github.com/owl-go/agent-platform/blob/bb77a15d8b0cf6d760bb2e84fc3a432f7717052f/backend/api/workspace/v1/workspace.proto#L24</x:v>
      </x:c>
    </x:row>
    <x:row r="18" ht="42" customHeight="1">
      <x:c r="A18" s="3" t="str">
        <x:v>HTTP-014</x:v>
      </x:c>
      <x:c r="B18" s="3" t="str">
        <x:v>积分与兑换</x:v>
      </x:c>
      <x:c r="C18" s="3" t="str">
        <x:v>POST</x:v>
      </x:c>
      <x:c r="D18" s="3" t="str">
        <x:v>/api/v1/admin/users/{user_id}/credit-adjustments</x:v>
      </x:c>
      <x:c r="E18" s="3" t="str">
        <x:v>AdjustUserCredits</x:v>
      </x:c>
      <x:c r="F18" s="3" t="str">
        <x:v>Administrator；管理全局/账号元数据</x:v>
      </x:c>
      <x:c r="G18" s="3" t="str">
        <x:v>CRD-030</x:v>
      </x:c>
      <x:c r="H18" s="3" t="str">
        <x:v>持久余额调整必须有理由</x:v>
      </x:c>
      <x:c r="I18" s="3" t="str">
        <x:v>合法输入成功持久化；非法输入不产生副作用；按合同验证版本冲突、重复请求和权限。</x:v>
      </x:c>
      <x:c r="J18" s="12" t="str">
        <x:v>未执行</x:v>
      </x:c>
      <x:c r="K18" s="3" t="str">
        <x:v>https://github.com/owl-go/agent-platform/blob/bb77a15d8b0cf6d760bb2e84fc3a432f7717052f/backend/api/workspace/v1/workspace.proto#L25</x:v>
      </x:c>
    </x:row>
    <x:row r="19" ht="42" customHeight="1">
      <x:c r="A19" s="3" t="str">
        <x:v>HTTP-015</x:v>
      </x:c>
      <x:c r="B19" s="3" t="str">
        <x:v>积分与兑换</x:v>
      </x:c>
      <x:c r="C19" s="3" t="str">
        <x:v>GET</x:v>
      </x:c>
      <x:c r="D19" s="3" t="str">
        <x:v>/api/v1/admin/model-credit-rates</x:v>
      </x:c>
      <x:c r="E19" s="3" t="str">
        <x:v>ListModelCreditRates</x:v>
      </x:c>
      <x:c r="F19" s="3" t="str">
        <x:v>Administrator；管理全局/账号元数据</x:v>
      </x:c>
      <x:c r="G19" s="3" t="str">
        <x:v>CRD-019</x:v>
      </x:c>
      <x:c r="H19" s="3" t="str">
        <x:v>费率精确匹配键</x:v>
      </x:c>
      <x:c r="I19" s="3" t="str">
        <x:v>核对列表/详情/字节与授权；缺失ID、跨owner、分页或过期按对应功能执行。</x:v>
      </x:c>
      <x:c r="J19" s="12" t="str">
        <x:v>未执行</x:v>
      </x:c>
      <x:c r="K19" s="3" t="str">
        <x:v>https://github.com/owl-go/agent-platform/blob/bb77a15d8b0cf6d760bb2e84fc3a432f7717052f/backend/api/workspace/v1/workspace.proto#L26</x:v>
      </x:c>
    </x:row>
    <x:row r="20" ht="42" customHeight="1">
      <x:c r="A20" s="3" t="str">
        <x:v>HTTP-016</x:v>
      </x:c>
      <x:c r="B20" s="3" t="str">
        <x:v>积分与兑换</x:v>
      </x:c>
      <x:c r="C20" s="3" t="str">
        <x:v>POST</x:v>
      </x:c>
      <x:c r="D20" s="3" t="str">
        <x:v>/api/v1/admin/model-credit-rates</x:v>
      </x:c>
      <x:c r="E20" s="3" t="str">
        <x:v>CreateModelCreditRate</x:v>
      </x:c>
      <x:c r="F20" s="3" t="str">
        <x:v>Administrator；管理全局/账号元数据</x:v>
      </x:c>
      <x:c r="G20" s="3" t="str">
        <x:v>CRD-020</x:v>
      </x:c>
      <x:c r="H20" s="3" t="str">
        <x:v>费率修订冻结与历史不重算</x:v>
      </x:c>
      <x:c r="I20" s="3" t="str">
        <x:v>合法输入成功持久化；非法输入不产生副作用；按合同验证版本冲突、重复请求和权限。</x:v>
      </x:c>
      <x:c r="J20" s="12" t="str">
        <x:v>未执行</x:v>
      </x:c>
      <x:c r="K20" s="3" t="str">
        <x:v>https://github.com/owl-go/agent-platform/blob/bb77a15d8b0cf6d760bb2e84fc3a432f7717052f/backend/api/workspace/v1/workspace.proto#L27</x:v>
      </x:c>
    </x:row>
    <x:row r="21" ht="42" customHeight="1">
      <x:c r="A21" s="3" t="str">
        <x:v>HTTP-017</x:v>
      </x:c>
      <x:c r="B21" s="3" t="str">
        <x:v>积分与兑换</x:v>
      </x:c>
      <x:c r="C21" s="3" t="str">
        <x:v>POST</x:v>
      </x:c>
      <x:c r="D21" s="3" t="str">
        <x:v>/api/v1/admin/redemption-code-batches</x:v>
      </x:c>
      <x:c r="E21" s="3" t="str">
        <x:v>CreateRedemptionCodeBatch</x:v>
      </x:c>
      <x:c r="F21" s="3" t="str">
        <x:v>Administrator；管理全局/账号元数据</x:v>
      </x:c>
      <x:c r="G21" s="3" t="str">
        <x:v>CRD-028</x:v>
      </x:c>
      <x:c r="H21" s="3" t="str">
        <x:v>批量生成数量与一次性导出</x:v>
      </x:c>
      <x:c r="I21" s="3" t="str">
        <x:v>合法输入成功持久化；非法输入不产生副作用；按合同验证版本冲突、重复请求和权限。</x:v>
      </x:c>
      <x:c r="J21" s="12" t="str">
        <x:v>未执行</x:v>
      </x:c>
      <x:c r="K21" s="3" t="str">
        <x:v>https://github.com/owl-go/agent-platform/blob/bb77a15d8b0cf6d760bb2e84fc3a432f7717052f/backend/api/workspace/v1/workspace.proto#L28</x:v>
      </x:c>
    </x:row>
    <x:row r="22" ht="42" customHeight="1">
      <x:c r="A22" s="3" t="str">
        <x:v>HTTP-018</x:v>
      </x:c>
      <x:c r="B22" s="3" t="str">
        <x:v>积分与兑换</x:v>
      </x:c>
      <x:c r="C22" s="3" t="str">
        <x:v>GET</x:v>
      </x:c>
      <x:c r="D22" s="3" t="str">
        <x:v>/api/v1/admin/redemption-codes</x:v>
      </x:c>
      <x:c r="E22" s="3" t="str">
        <x:v>ListRedemptionCodes</x:v>
      </x:c>
      <x:c r="F22" s="3" t="str">
        <x:v>Administrator；管理全局/账号元数据</x:v>
      </x:c>
      <x:c r="G22" s="3" t="str">
        <x:v>CRD-028</x:v>
      </x:c>
      <x:c r="H22" s="3" t="str">
        <x:v>批量生成数量与一次性导出</x:v>
      </x:c>
      <x:c r="I22" s="3" t="str">
        <x:v>核对列表/详情/字节与授权；缺失ID、跨owner、分页或过期按对应功能执行。</x:v>
      </x:c>
      <x:c r="J22" s="12" t="str">
        <x:v>未执行</x:v>
      </x:c>
      <x:c r="K22" s="3" t="str">
        <x:v>https://github.com/owl-go/agent-platform/blob/bb77a15d8b0cf6d760bb2e84fc3a432f7717052f/backend/api/workspace/v1/workspace.proto#L29</x:v>
      </x:c>
    </x:row>
    <x:row r="23" ht="42" customHeight="1">
      <x:c r="A23" s="3" t="str">
        <x:v>HTTP-019</x:v>
      </x:c>
      <x:c r="B23" s="3" t="str">
        <x:v>积分与兑换</x:v>
      </x:c>
      <x:c r="C23" s="3" t="str">
        <x:v>POST</x:v>
      </x:c>
      <x:c r="D23" s="3" t="str">
        <x:v>/api/v1/admin/redemption-codes/{code_id}/void</x:v>
      </x:c>
      <x:c r="E23" s="3" t="str">
        <x:v>VoidRedemptionCode</x:v>
      </x:c>
      <x:c r="F23" s="3" t="str">
        <x:v>Administrator；管理全局/账号元数据</x:v>
      </x:c>
      <x:c r="G23" s="3" t="str">
        <x:v>CRD-029</x:v>
      </x:c>
      <x:c r="H23" s="3" t="str">
        <x:v>兑换码作废</x:v>
      </x:c>
      <x:c r="I23" s="3" t="str">
        <x:v>合法输入成功持久化；非法输入不产生副作用；按合同验证版本冲突、重复请求和权限。</x:v>
      </x:c>
      <x:c r="J23" s="12" t="str">
        <x:v>未执行</x:v>
      </x:c>
      <x:c r="K23" s="3" t="str">
        <x:v>https://github.com/owl-go/agent-platform/blob/bb77a15d8b0cf6d760bb2e84fc3a432f7717052f/backend/api/workspace/v1/workspace.proto#L30</x:v>
      </x:c>
    </x:row>
    <x:row r="24" ht="42" customHeight="1">
      <x:c r="A24" s="3" t="str">
        <x:v>HTTP-020</x:v>
      </x:c>
      <x:c r="B24" s="3" t="str">
        <x:v>Session 会话</x:v>
      </x:c>
      <x:c r="C24" s="3" t="str">
        <x:v>GET</x:v>
      </x:c>
      <x:c r="D24" s="3" t="str">
        <x:v>/api/v1/sessions</x:v>
      </x:c>
      <x:c r="E24" s="3" t="str">
        <x:v>ListSessions</x:v>
      </x:c>
      <x:c r="F24" s="3" t="str">
        <x:v>当前登录User；私有资源校验owner</x:v>
      </x:c>
      <x:c r="G24" s="3" t="str">
        <x:v>SES-009</x:v>
      </x:c>
      <x:c r="H24" s="3" t="str">
        <x:v>会话归档只读</x:v>
      </x:c>
      <x:c r="I24" s="3" t="str">
        <x:v>核对列表/详情/字节与授权；缺失ID、跨owner、分页或过期按对应功能执行。</x:v>
      </x:c>
      <x:c r="J24" s="12" t="str">
        <x:v>未执行</x:v>
      </x:c>
      <x:c r="K24" s="3" t="str">
        <x:v>https://github.com/owl-go/agent-platform/blob/bb77a15d8b0cf6d760bb2e84fc3a432f7717052f/backend/api/workspace/v1/workspace.proto#L32</x:v>
      </x:c>
    </x:row>
    <x:row r="25" ht="42" customHeight="1">
      <x:c r="A25" s="3" t="str">
        <x:v>HTTP-021</x:v>
      </x:c>
      <x:c r="B25" s="3" t="str">
        <x:v>Session 会话</x:v>
      </x:c>
      <x:c r="C25" s="3" t="str">
        <x:v>POST</x:v>
      </x:c>
      <x:c r="D25" s="3" t="str">
        <x:v>/api/v1/sessions</x:v>
      </x:c>
      <x:c r="E25" s="3" t="str">
        <x:v>CreateSession</x:v>
      </x:c>
      <x:c r="F25" s="3" t="str">
        <x:v>当前登录User；私有资源校验owner</x:v>
      </x:c>
      <x:c r="G25" s="3" t="str">
        <x:v>SES-001</x:v>
      </x:c>
      <x:c r="H25" s="3" t="str">
        <x:v>立即新建无专家会话</x:v>
      </x:c>
      <x:c r="I25" s="3" t="str">
        <x:v>合法输入成功持久化；非法输入不产生副作用；按合同验证版本冲突、重复请求和权限。</x:v>
      </x:c>
      <x:c r="J25" s="12" t="str">
        <x:v>未执行</x:v>
      </x:c>
      <x:c r="K25" s="3" t="str">
        <x:v>https://github.com/owl-go/agent-platform/blob/bb77a15d8b0cf6d760bb2e84fc3a432f7717052f/backend/api/workspace/v1/workspace.proto#L33</x:v>
      </x:c>
    </x:row>
    <x:row r="26" ht="42" customHeight="1">
      <x:c r="A26" s="3" t="str">
        <x:v>HTTP-022</x:v>
      </x:c>
      <x:c r="B26" s="3" t="str">
        <x:v>Session 会话</x:v>
      </x:c>
      <x:c r="C26" s="3" t="str">
        <x:v>GET</x:v>
      </x:c>
      <x:c r="D26" s="3" t="str">
        <x:v>/api/v1/sessions/{session_id}</x:v>
      </x:c>
      <x:c r="E26" s="3" t="str">
        <x:v>GetSession</x:v>
      </x:c>
      <x:c r="F26" s="3" t="str">
        <x:v>当前登录User；私有资源校验owner</x:v>
      </x:c>
      <x:c r="G26" s="3" t="str">
        <x:v>SES-003</x:v>
      </x:c>
      <x:c r="H26" s="3" t="str">
        <x:v>流式回复与正常完成</x:v>
      </x:c>
      <x:c r="I26" s="3" t="str">
        <x:v>核对列表/详情/字节与授权；缺失ID、跨owner、分页或过期按对应功能执行。</x:v>
      </x:c>
      <x:c r="J26" s="12" t="str">
        <x:v>未执行</x:v>
      </x:c>
      <x:c r="K26" s="3" t="str">
        <x:v>https://github.com/owl-go/agent-platform/blob/bb77a15d8b0cf6d760bb2e84fc3a432f7717052f/backend/api/workspace/v1/workspace.proto#L34</x:v>
      </x:c>
    </x:row>
    <x:row r="27" ht="42" customHeight="1">
      <x:c r="A27" s="3" t="str">
        <x:v>HTTP-023</x:v>
      </x:c>
      <x:c r="B27" s="3" t="str">
        <x:v>Session 会话</x:v>
      </x:c>
      <x:c r="C27" s="3" t="str">
        <x:v>PATCH</x:v>
      </x:c>
      <x:c r="D27" s="3" t="str">
        <x:v>/api/v1/sessions/{session_id}</x:v>
      </x:c>
      <x:c r="E27" s="3" t="str">
        <x:v>UpdateSession</x:v>
      </x:c>
      <x:c r="F27" s="3" t="str">
        <x:v>当前登录User；私有资源校验owner</x:v>
      </x:c>
      <x:c r="G27" s="3" t="str">
        <x:v>SES-008</x:v>
      </x:c>
      <x:c r="H27" s="3" t="str">
        <x:v>内联重命名及持久化</x:v>
      </x:c>
      <x:c r="I27" s="3" t="str">
        <x:v>合法输入成功持久化；非法输入不产生副作用；按合同验证版本冲突、重复请求和权限。</x:v>
      </x:c>
      <x:c r="J27" s="12" t="str">
        <x:v>未执行</x:v>
      </x:c>
      <x:c r="K27" s="3" t="str">
        <x:v>https://github.com/owl-go/agent-platform/blob/bb77a15d8b0cf6d760bb2e84fc3a432f7717052f/backend/api/workspace/v1/workspace.proto#L35</x:v>
      </x:c>
    </x:row>
    <x:row r="28" ht="42" customHeight="1">
      <x:c r="A28" s="3" t="str">
        <x:v>HTTP-024</x:v>
      </x:c>
      <x:c r="B28" s="3" t="str">
        <x:v>Session 会话</x:v>
      </x:c>
      <x:c r="C28" s="3" t="str">
        <x:v>PATCH</x:v>
      </x:c>
      <x:c r="D28" s="3" t="str">
        <x:v>/api/v1/sessions/{session_id}/archived</x:v>
      </x:c>
      <x:c r="E28" s="3" t="str">
        <x:v>SetSessionArchived</x:v>
      </x:c>
      <x:c r="F28" s="3" t="str">
        <x:v>当前登录User；私有资源校验owner</x:v>
      </x:c>
      <x:c r="G28" s="3" t="str">
        <x:v>SES-009</x:v>
      </x:c>
      <x:c r="H28" s="3" t="str">
        <x:v>会话归档只读</x:v>
      </x:c>
      <x:c r="I28" s="3" t="str">
        <x:v>合法输入成功持久化；非法输入不产生副作用；按合同验证版本冲突、重复请求和权限。</x:v>
      </x:c>
      <x:c r="J28" s="12" t="str">
        <x:v>未执行</x:v>
      </x:c>
      <x:c r="K28" s="3" t="str">
        <x:v>https://github.com/owl-go/agent-platform/blob/bb77a15d8b0cf6d760bb2e84fc3a432f7717052f/backend/api/workspace/v1/workspace.proto#L36</x:v>
      </x:c>
    </x:row>
    <x:row r="29" ht="42" customHeight="1">
      <x:c r="A29" s="3" t="str">
        <x:v>HTTP-025</x:v>
      </x:c>
      <x:c r="B29" s="3" t="str">
        <x:v>会话资源选择与草稿</x:v>
      </x:c>
      <x:c r="C29" s="3" t="str">
        <x:v>PATCH</x:v>
      </x:c>
      <x:c r="D29" s="3" t="str">
        <x:v>/api/v1/sessions/{session_id}/expert-selection</x:v>
      </x:c>
      <x:c r="E29" s="3" t="str">
        <x:v>SetSessionExpertSelection</x:v>
      </x:c>
      <x:c r="F29" s="3" t="str">
        <x:v>当前登录User；私有资源校验owner</x:v>
      </x:c>
      <x:c r="G29" s="3" t="str">
        <x:v>SEL-007</x:v>
      </x:c>
      <x:c r="H29" s="3" t="str">
        <x:v>专家选择持续到下轮</x:v>
      </x:c>
      <x:c r="I29" s="3" t="str">
        <x:v>合法输入成功持久化；非法输入不产生副作用；按合同验证版本冲突、重复请求和权限。</x:v>
      </x:c>
      <x:c r="J29" s="12" t="str">
        <x:v>未执行</x:v>
      </x:c>
      <x:c r="K29" s="3" t="str">
        <x:v>https://github.com/owl-go/agent-platform/blob/bb77a15d8b0cf6d760bb2e84fc3a432f7717052f/backend/api/workspace/v1/workspace.proto#L37</x:v>
      </x:c>
    </x:row>
    <x:row r="30" ht="42" customHeight="1">
      <x:c r="A30" s="3" t="str">
        <x:v>HTTP-026</x:v>
      </x:c>
      <x:c r="B30" s="3" t="str">
        <x:v>Session 会话</x:v>
      </x:c>
      <x:c r="C30" s="3" t="str">
        <x:v>DELETE</x:v>
      </x:c>
      <x:c r="D30" s="3" t="str">
        <x:v>/api/v1/sessions/{session_id}</x:v>
      </x:c>
      <x:c r="E30" s="3" t="str">
        <x:v>DeleteSession</x:v>
      </x:c>
      <x:c r="F30" s="3" t="str">
        <x:v>当前登录User；私有资源校验owner</x:v>
      </x:c>
      <x:c r="G30" s="3" t="str">
        <x:v>SES-012</x:v>
      </x:c>
      <x:c r="H30" s="3" t="str">
        <x:v>删除活动会话清理</x:v>
      </x:c>
      <x:c r="I30" s="3" t="str">
        <x:v>合法输入成功持久化；非法输入不产生副作用；按合同验证版本冲突、重复请求和权限。</x:v>
      </x:c>
      <x:c r="J30" s="12" t="str">
        <x:v>未执行</x:v>
      </x:c>
      <x:c r="K30" s="3" t="str">
        <x:v>https://github.com/owl-go/agent-platform/blob/bb77a15d8b0cf6d760bb2e84fc3a432f7717052f/backend/api/workspace/v1/workspace.proto#L38</x:v>
      </x:c>
    </x:row>
    <x:row r="31" ht="42" customHeight="1">
      <x:c r="A31" s="3" t="str">
        <x:v>HTTP-027</x:v>
      </x:c>
      <x:c r="B31" s="3" t="str">
        <x:v>Session 会话</x:v>
      </x:c>
      <x:c r="C31" s="3" t="str">
        <x:v>GET</x:v>
      </x:c>
      <x:c r="D31" s="3" t="str">
        <x:v>/api/v1/sessions/{session_id}/messages</x:v>
      </x:c>
      <x:c r="E31" s="3" t="str">
        <x:v>ListSessionMessages</x:v>
      </x:c>
      <x:c r="F31" s="3" t="str">
        <x:v>当前登录User；私有资源校验owner</x:v>
      </x:c>
      <x:c r="G31" s="3" t="str">
        <x:v>SES-016</x:v>
      </x:c>
      <x:c r="H31" s="3" t="str">
        <x:v>历史分页完整加载</x:v>
      </x:c>
      <x:c r="I31" s="3" t="str">
        <x:v>核对列表/详情/字节与授权；缺失ID、跨owner、分页或过期按对应功能执行。</x:v>
      </x:c>
      <x:c r="J31" s="12" t="str">
        <x:v>未执行</x:v>
      </x:c>
      <x:c r="K31" s="3" t="str">
        <x:v>https://github.com/owl-go/agent-platform/blob/bb77a15d8b0cf6d760bb2e84fc3a432f7717052f/backend/api/workspace/v1/workspace.proto#L39</x:v>
      </x:c>
    </x:row>
    <x:row r="32" ht="42" customHeight="1">
      <x:c r="A32" s="3" t="str">
        <x:v>HTTP-028</x:v>
      </x:c>
      <x:c r="B32" s="3" t="str">
        <x:v>Session 会话</x:v>
      </x:c>
      <x:c r="C32" s="3" t="str">
        <x:v>POST</x:v>
      </x:c>
      <x:c r="D32" s="3" t="str">
        <x:v>/api/v1/sessions/{session_id}/messages</x:v>
      </x:c>
      <x:c r="E32" s="3" t="str">
        <x:v>SendSessionMessage</x:v>
      </x:c>
      <x:c r="F32" s="3" t="str">
        <x:v>当前登录User；私有资源校验owner</x:v>
      </x:c>
      <x:c r="G32" s="3" t="str">
        <x:v>SES-003</x:v>
      </x:c>
      <x:c r="H32" s="3" t="str">
        <x:v>流式回复与正常完成</x:v>
      </x:c>
      <x:c r="I32" s="3" t="str">
        <x:v>合法输入成功持久化；非法输入不产生副作用；按合同验证版本冲突、重复请求和权限。</x:v>
      </x:c>
      <x:c r="J32" s="12" t="str">
        <x:v>未执行</x:v>
      </x:c>
      <x:c r="K32" s="3" t="str">
        <x:v>https://github.com/owl-go/agent-platform/blob/bb77a15d8b0cf6d760bb2e84fc3a432f7717052f/backend/api/workspace/v1/workspace.proto#L40</x:v>
      </x:c>
    </x:row>
    <x:row r="33" ht="42" customHeight="1">
      <x:c r="A33" s="3" t="str">
        <x:v>HTTP-029</x:v>
      </x:c>
      <x:c r="B33" s="3" t="str">
        <x:v>Session 会话</x:v>
      </x:c>
      <x:c r="C33" s="3" t="str">
        <x:v>POST</x:v>
      </x:c>
      <x:c r="D33" s="3" t="str">
        <x:v>/api/v1/sessions/{session_id}/messages/{message_id}/retry</x:v>
      </x:c>
      <x:c r="E33" s="3" t="str">
        <x:v>RetrySessionMessage</x:v>
      </x:c>
      <x:c r="F33" s="3" t="str">
        <x:v>当前登录User；私有资源校验owner</x:v>
      </x:c>
      <x:c r="G33" s="3" t="str">
        <x:v>SES-005</x:v>
      </x:c>
      <x:c r="H33" s="3" t="str">
        <x:v>异步取消状态收敛</x:v>
      </x:c>
      <x:c r="I33" s="3" t="str">
        <x:v>合法输入成功持久化；非法输入不产生副作用；按合同验证版本冲突、重复请求和权限。</x:v>
      </x:c>
      <x:c r="J33" s="12" t="str">
        <x:v>未执行</x:v>
      </x:c>
      <x:c r="K33" s="3" t="str">
        <x:v>https://github.com/owl-go/agent-platform/blob/bb77a15d8b0cf6d760bb2e84fc3a432f7717052f/backend/api/workspace/v1/workspace.proto#L41</x:v>
      </x:c>
    </x:row>
    <x:row r="34" ht="42" customHeight="1">
      <x:c r="A34" s="3" t="str">
        <x:v>HTTP-030</x:v>
      </x:c>
      <x:c r="B34" s="3" t="str">
        <x:v>Session 会话</x:v>
      </x:c>
      <x:c r="C34" s="3" t="str">
        <x:v>POST</x:v>
      </x:c>
      <x:c r="D34" s="3" t="str">
        <x:v>/api/v1/sessions/{session_id}/messages/{message_id}/cancellation</x:v>
      </x:c>
      <x:c r="E34" s="3" t="str">
        <x:v>CancelSessionMessage</x:v>
      </x:c>
      <x:c r="F34" s="3" t="str">
        <x:v>当前登录User；私有资源校验owner</x:v>
      </x:c>
      <x:c r="G34" s="3" t="str">
        <x:v>SES-004</x:v>
      </x:c>
      <x:c r="H34" s="3" t="str">
        <x:v>停止正在生成的回复</x:v>
      </x:c>
      <x:c r="I34" s="3" t="str">
        <x:v>合法输入成功持久化；非法输入不产生副作用；按合同验证版本冲突、重复请求和权限。</x:v>
      </x:c>
      <x:c r="J34" s="12" t="str">
        <x:v>未执行</x:v>
      </x:c>
      <x:c r="K34" s="3" t="str">
        <x:v>https://github.com/owl-go/agent-platform/blob/bb77a15d8b0cf6d760bb2e84fc3a432f7717052f/backend/api/workspace/v1/workspace.proto#L42</x:v>
      </x:c>
    </x:row>
    <x:row r="35" ht="42" customHeight="1">
      <x:c r="A35" s="3" t="str">
        <x:v>HTTP-031</x:v>
      </x:c>
      <x:c r="B35" s="3" t="str">
        <x:v>Workflow 与运行对话</x:v>
      </x:c>
      <x:c r="C35" s="3" t="str">
        <x:v>GET</x:v>
      </x:c>
      <x:c r="D35" s="3" t="str">
        <x:v>/api/v1/workflows</x:v>
      </x:c>
      <x:c r="E35" s="3" t="str">
        <x:v>ListWorkflows</x:v>
      </x:c>
      <x:c r="F35" s="3" t="str">
        <x:v>当前登录User；私有资源校验owner</x:v>
      </x:c>
      <x:c r="G35" s="3" t="str">
        <x:v>WF-004</x:v>
      </x:c>
      <x:c r="H35" s="3" t="str">
        <x:v>无专家卡片不留空标签</x:v>
      </x:c>
      <x:c r="I35" s="3" t="str">
        <x:v>核对列表/详情/字节与授权；缺失ID、跨owner、分页或过期按对应功能执行。</x:v>
      </x:c>
      <x:c r="J35" s="12" t="str">
        <x:v>未执行</x:v>
      </x:c>
      <x:c r="K35" s="3" t="str">
        <x:v>https://github.com/owl-go/agent-platform/blob/bb77a15d8b0cf6d760bb2e84fc3a432f7717052f/backend/api/workspace/v1/workspace.proto#L44</x:v>
      </x:c>
    </x:row>
    <x:row r="36" ht="42" customHeight="1">
      <x:c r="A36" s="3" t="str">
        <x:v>HTTP-032</x:v>
      </x:c>
      <x:c r="B36" s="3" t="str">
        <x:v>Workflow 与运行对话</x:v>
      </x:c>
      <x:c r="C36" s="3" t="str">
        <x:v>POST</x:v>
      </x:c>
      <x:c r="D36" s="3" t="str">
        <x:v>/api/v1/workflows</x:v>
      </x:c>
      <x:c r="E36" s="3" t="str">
        <x:v>CreateWorkflow</x:v>
      </x:c>
      <x:c r="F36" s="3" t="str">
        <x:v>当前登录User；私有资源校验owner</x:v>
      </x:c>
      <x:c r="G36" s="3" t="str">
        <x:v>WF-001</x:v>
      </x:c>
      <x:c r="H36" s="3" t="str">
        <x:v>创建最小 Workflow</x:v>
      </x:c>
      <x:c r="I36" s="3" t="str">
        <x:v>合法输入成功持久化；非法输入不产生副作用；按合同验证版本冲突、重复请求和权限。</x:v>
      </x:c>
      <x:c r="J36" s="12" t="str">
        <x:v>未执行</x:v>
      </x:c>
      <x:c r="K36" s="3" t="str">
        <x:v>https://github.com/owl-go/agent-platform/blob/bb77a15d8b0cf6d760bb2e84fc3a432f7717052f/backend/api/workspace/v1/workspace.proto#L45</x:v>
      </x:c>
    </x:row>
    <x:row r="37" ht="42" customHeight="1">
      <x:c r="A37" s="3" t="str">
        <x:v>HTTP-033</x:v>
      </x:c>
      <x:c r="B37" s="3" t="str">
        <x:v>Workflow 与运行对话</x:v>
      </x:c>
      <x:c r="C37" s="3" t="str">
        <x:v>GET</x:v>
      </x:c>
      <x:c r="D37" s="3" t="str">
        <x:v>/api/v1/workflows/{workflow_id}</x:v>
      </x:c>
      <x:c r="E37" s="3" t="str">
        <x:v>GetWorkflow</x:v>
      </x:c>
      <x:c r="F37" s="3" t="str">
        <x:v>当前登录User；私有资源校验owner</x:v>
      </x:c>
      <x:c r="G37" s="3" t="str">
        <x:v>WF-001</x:v>
      </x:c>
      <x:c r="H37" s="3" t="str">
        <x:v>创建最小 Workflow</x:v>
      </x:c>
      <x:c r="I37" s="3" t="str">
        <x:v>核对列表/详情/字节与授权；缺失ID、跨owner、分页或过期按对应功能执行。</x:v>
      </x:c>
      <x:c r="J37" s="12" t="str">
        <x:v>未执行</x:v>
      </x:c>
      <x:c r="K37" s="3" t="str">
        <x:v>https://github.com/owl-go/agent-platform/blob/bb77a15d8b0cf6d760bb2e84fc3a432f7717052f/backend/api/workspace/v1/workspace.proto#L46</x:v>
      </x:c>
    </x:row>
    <x:row r="38" ht="42" customHeight="1">
      <x:c r="A38" s="3" t="str">
        <x:v>HTTP-034</x:v>
      </x:c>
      <x:c r="B38" s="3" t="str">
        <x:v>Workflow 与运行对话</x:v>
      </x:c>
      <x:c r="C38" s="3" t="str">
        <x:v>PATCH</x:v>
      </x:c>
      <x:c r="D38" s="3" t="str">
        <x:v>/api/v1/workflows/{workflow_id}</x:v>
      </x:c>
      <x:c r="E38" s="3" t="str">
        <x:v>UpdateWorkflow</x:v>
      </x:c>
      <x:c r="F38" s="3" t="str">
        <x:v>当前登录User；私有资源校验owner</x:v>
      </x:c>
      <x:c r="G38" s="3" t="str">
        <x:v>WF-003</x:v>
      </x:c>
      <x:c r="H38" s="3" t="str">
        <x:v>编辑 Workflow 与版本冲突</x:v>
      </x:c>
      <x:c r="I38" s="3" t="str">
        <x:v>合法输入成功持久化；非法输入不产生副作用；按合同验证版本冲突、重复请求和权限。</x:v>
      </x:c>
      <x:c r="J38" s="12" t="str">
        <x:v>未执行</x:v>
      </x:c>
      <x:c r="K38" s="3" t="str">
        <x:v>https://github.com/owl-go/agent-platform/blob/bb77a15d8b0cf6d760bb2e84fc3a432f7717052f/backend/api/workspace/v1/workspace.proto#L47</x:v>
      </x:c>
    </x:row>
    <x:row r="39" ht="42" customHeight="1">
      <x:c r="A39" s="3" t="str">
        <x:v>HTTP-035</x:v>
      </x:c>
      <x:c r="B39" s="3" t="str">
        <x:v>Workflow 与运行对话</x:v>
      </x:c>
      <x:c r="C39" s="3" t="str">
        <x:v>DELETE</x:v>
      </x:c>
      <x:c r="D39" s="3" t="str">
        <x:v>/api/v1/workflows/{workflow_id}</x:v>
      </x:c>
      <x:c r="E39" s="3" t="str">
        <x:v>DeleteWorkflow</x:v>
      </x:c>
      <x:c r="F39" s="3" t="str">
        <x:v>当前登录User；私有资源校验owner</x:v>
      </x:c>
      <x:c r="G39" s="3" t="str">
        <x:v>WF-020</x:v>
      </x:c>
      <x:c r="H39" s="3" t="str">
        <x:v>删除 Workflow 确认</x:v>
      </x:c>
      <x:c r="I39" s="3" t="str">
        <x:v>合法输入成功持久化；非法输入不产生副作用；按合同验证版本冲突、重复请求和权限。</x:v>
      </x:c>
      <x:c r="J39" s="12" t="str">
        <x:v>未执行</x:v>
      </x:c>
      <x:c r="K39" s="3" t="str">
        <x:v>https://github.com/owl-go/agent-platform/blob/bb77a15d8b0cf6d760bb2e84fc3a432f7717052f/backend/api/workspace/v1/workspace.proto#L48</x:v>
      </x:c>
    </x:row>
    <x:row r="40" ht="42" customHeight="1">
      <x:c r="A40" s="3" t="str">
        <x:v>HTTP-036</x:v>
      </x:c>
      <x:c r="B40" s="3" t="str">
        <x:v>Workflow API 与幂等</x:v>
      </x:c>
      <x:c r="C40" s="3" t="str">
        <x:v>POST</x:v>
      </x:c>
      <x:c r="D40" s="3" t="str">
        <x:v>/api/v1/workflows/{workflow_id}/api-credential</x:v>
      </x:c>
      <x:c r="E40" s="3" t="str">
        <x:v>GenerateWorkflowCredential</x:v>
      </x:c>
      <x:c r="F40" s="3" t="str">
        <x:v>当前登录User；私有资源校验owner</x:v>
      </x:c>
      <x:c r="G40" s="3" t="str">
        <x:v>API-002</x:v>
      </x:c>
      <x:c r="H40" s="3" t="str">
        <x:v>生成凭据仅一次明文</x:v>
      </x:c>
      <x:c r="I40" s="3" t="str">
        <x:v>合法输入成功持久化；非法输入不产生副作用；按合同验证版本冲突、重复请求和权限。</x:v>
      </x:c>
      <x:c r="J40" s="12" t="str">
        <x:v>未执行</x:v>
      </x:c>
      <x:c r="K40" s="3" t="str">
        <x:v>https://github.com/owl-go/agent-platform/blob/bb77a15d8b0cf6d760bb2e84fc3a432f7717052f/backend/api/workspace/v1/workspace.proto#L49</x:v>
      </x:c>
    </x:row>
    <x:row r="41" ht="42" customHeight="1">
      <x:c r="A41" s="3" t="str">
        <x:v>HTTP-037</x:v>
      </x:c>
      <x:c r="B41" s="3" t="str">
        <x:v>Workflow API 与幂等</x:v>
      </x:c>
      <x:c r="C41" s="3" t="str">
        <x:v>POST</x:v>
      </x:c>
      <x:c r="D41" s="3" t="str">
        <x:v>/api/v1/workflows/{workflow_id}/api-token</x:v>
      </x:c>
      <x:c r="E41" s="3" t="str">
        <x:v>ExchangeWorkflowCredential</x:v>
      </x:c>
      <x:c r="F41" s="3" t="str">
        <x:v>仅Workflow API Key/Secret Basic交换</x:v>
      </x:c>
      <x:c r="G41" s="3" t="str">
        <x:v>API-003</x:v>
      </x:c>
      <x:c r="H41" s="3" t="str">
        <x:v>Basic 交换 15 分钟 Token</x:v>
      </x:c>
      <x:c r="I41" s="3" t="str">
        <x:v>合法输入成功持久化；非法输入不产生副作用；按合同验证版本冲突、重复请求和权限。</x:v>
      </x:c>
      <x:c r="J41" s="12" t="str">
        <x:v>未执行</x:v>
      </x:c>
      <x:c r="K41" s="3" t="str">
        <x:v>https://github.com/owl-go/agent-platform/blob/bb77a15d8b0cf6d760bb2e84fc3a432f7717052f/backend/api/workspace/v1/workspace.proto#L50</x:v>
      </x:c>
    </x:row>
    <x:row r="42" ht="42" customHeight="1">
      <x:c r="A42" s="3" t="str">
        <x:v>HTTP-038</x:v>
      </x:c>
      <x:c r="B42" s="3" t="str">
        <x:v>Workflow API 与幂等</x:v>
      </x:c>
      <x:c r="C42" s="3" t="str">
        <x:v>POST</x:v>
      </x:c>
      <x:c r="D42" s="3" t="str">
        <x:v>/api/v1/workflows/{workflow_id}/runs</x:v>
      </x:c>
      <x:c r="E42" s="3" t="str">
        <x:v>RunWorkflow</x:v>
      </x:c>
      <x:c r="F42" s="3" t="str">
        <x:v>Owner登录态或限定本Workflow的Bearer Token</x:v>
      </x:c>
      <x:c r="G42" s="3" t="str">
        <x:v>API-008</x:v>
      </x:c>
      <x:c r="H42" s="3" t="str">
        <x:v>API 文本输入</x:v>
      </x:c>
      <x:c r="I42" s="3" t="str">
        <x:v>合法输入成功持久化；非法输入不产生副作用；按合同验证版本冲突、重复请求和权限。</x:v>
      </x:c>
      <x:c r="J42" s="12" t="str">
        <x:v>未执行</x:v>
      </x:c>
      <x:c r="K42" s="3" t="str">
        <x:v>https://github.com/owl-go/agent-platform/blob/bb77a15d8b0cf6d760bb2e84fc3a432f7717052f/backend/api/workspace/v1/workspace.proto#L51</x:v>
      </x:c>
    </x:row>
    <x:row r="43" ht="42" customHeight="1">
      <x:c r="A43" s="3" t="str">
        <x:v>HTTP-039</x:v>
      </x:c>
      <x:c r="B43" s="3" t="str">
        <x:v>Workflow 与运行对话</x:v>
      </x:c>
      <x:c r="C43" s="3" t="str">
        <x:v>GET</x:v>
      </x:c>
      <x:c r="D43" s="3" t="str">
        <x:v>/api/v1/workflows/{workflow_id}/runs</x:v>
      </x:c>
      <x:c r="E43" s="3" t="str">
        <x:v>ListRuns</x:v>
      </x:c>
      <x:c r="F43" s="3" t="str">
        <x:v>当前登录User；私有资源校验owner</x:v>
      </x:c>
      <x:c r="G43" s="3" t="str">
        <x:v>WF-011</x:v>
      </x:c>
      <x:c r="H43" s="3" t="str">
        <x:v>历史行按最新轮次更新</x:v>
      </x:c>
      <x:c r="I43" s="3" t="str">
        <x:v>核对列表/详情/字节与授权；缺失ID、跨owner、分页或过期按对应功能执行。</x:v>
      </x:c>
      <x:c r="J43" s="12" t="str">
        <x:v>未执行</x:v>
      </x:c>
      <x:c r="K43" s="3" t="str">
        <x:v>https://github.com/owl-go/agent-platform/blob/bb77a15d8b0cf6d760bb2e84fc3a432f7717052f/backend/api/workspace/v1/workspace.proto#L52</x:v>
      </x:c>
    </x:row>
    <x:row r="44" ht="42" customHeight="1">
      <x:c r="A44" s="3" t="str">
        <x:v>HTTP-040</x:v>
      </x:c>
      <x:c r="B44" s="3" t="str">
        <x:v>Workflow 与运行对话</x:v>
      </x:c>
      <x:c r="C44" s="3" t="str">
        <x:v>GET</x:v>
      </x:c>
      <x:c r="D44" s="3" t="str">
        <x:v>/api/v1/workflows/{workflow_id}/runs/{run_id}</x:v>
      </x:c>
      <x:c r="E44" s="3" t="str">
        <x:v>GetRun</x:v>
      </x:c>
      <x:c r="F44" s="3" t="str">
        <x:v>Owner登录态或限定本Workflow的Bearer Token</x:v>
      </x:c>
      <x:c r="G44" s="3" t="str">
        <x:v>WF-010</x:v>
      </x:c>
      <x:c r="H44" s="3" t="str">
        <x:v>追问生成新的不可变 Run</x:v>
      </x:c>
      <x:c r="I44" s="3" t="str">
        <x:v>核对列表/详情/字节与授权；缺失ID、跨owner、分页或过期按对应功能执行。</x:v>
      </x:c>
      <x:c r="J44" s="12" t="str">
        <x:v>未执行</x:v>
      </x:c>
      <x:c r="K44" s="3" t="str">
        <x:v>https://github.com/owl-go/agent-platform/blob/bb77a15d8b0cf6d760bb2e84fc3a432f7717052f/backend/api/workspace/v1/workspace.proto#L53</x:v>
      </x:c>
    </x:row>
    <x:row r="45" ht="42" customHeight="1">
      <x:c r="A45" s="3" t="str">
        <x:v>HTTP-041</x:v>
      </x:c>
      <x:c r="B45" s="3" t="str">
        <x:v>Workflow 与运行对话</x:v>
      </x:c>
      <x:c r="C45" s="3" t="str">
        <x:v>GET</x:v>
      </x:c>
      <x:c r="D45" s="3" t="str">
        <x:v>/api/v1/workflows/{workflow_id}/runs/{run_id}/turns</x:v>
      </x:c>
      <x:c r="E45" s="3" t="str">
        <x:v>ListRunTurns</x:v>
      </x:c>
      <x:c r="F45" s="3" t="str">
        <x:v>当前登录User；私有资源校验owner</x:v>
      </x:c>
      <x:c r="G45" s="3" t="str">
        <x:v>WF-010</x:v>
      </x:c>
      <x:c r="H45" s="3" t="str">
        <x:v>追问生成新的不可变 Run</x:v>
      </x:c>
      <x:c r="I45" s="3" t="str">
        <x:v>核对列表/详情/字节与授权；缺失ID、跨owner、分页或过期按对应功能执行。</x:v>
      </x:c>
      <x:c r="J45" s="12" t="str">
        <x:v>未执行</x:v>
      </x:c>
      <x:c r="K45" s="3" t="str">
        <x:v>https://github.com/owl-go/agent-platform/blob/bb77a15d8b0cf6d760bb2e84fc3a432f7717052f/backend/api/workspace/v1/workspace.proto#L54</x:v>
      </x:c>
    </x:row>
    <x:row r="46" ht="42" customHeight="1">
      <x:c r="A46" s="3" t="str">
        <x:v>HTTP-042</x:v>
      </x:c>
      <x:c r="B46" s="3" t="str">
        <x:v>Workflow 与运行对话</x:v>
      </x:c>
      <x:c r="C46" s="3" t="str">
        <x:v>POST</x:v>
      </x:c>
      <x:c r="D46" s="3" t="str">
        <x:v>/api/v1/workflows/{workflow_id}/runs/{run_id}/turns</x:v>
      </x:c>
      <x:c r="E46" s="3" t="str">
        <x:v>ContinueRunConversation</x:v>
      </x:c>
      <x:c r="F46" s="3" t="str">
        <x:v>当前登录User；私有资源校验owner</x:v>
      </x:c>
      <x:c r="G46" s="3" t="str">
        <x:v>WF-010</x:v>
      </x:c>
      <x:c r="H46" s="3" t="str">
        <x:v>追问生成新的不可变 Run</x:v>
      </x:c>
      <x:c r="I46" s="3" t="str">
        <x:v>合法输入成功持久化；非法输入不产生副作用；按合同验证版本冲突、重复请求和权限。</x:v>
      </x:c>
      <x:c r="J46" s="12" t="str">
        <x:v>未执行</x:v>
      </x:c>
      <x:c r="K46" s="3" t="str">
        <x:v>https://github.com/owl-go/agent-platform/blob/bb77a15d8b0cf6d760bb2e84fc3a432f7717052f/backend/api/workspace/v1/workspace.proto#L55</x:v>
      </x:c>
    </x:row>
    <x:row r="47" ht="42" customHeight="1">
      <x:c r="A47" s="3" t="str">
        <x:v>HTTP-043</x:v>
      </x:c>
      <x:c r="B47" s="3" t="str">
        <x:v>Workflow 与运行对话</x:v>
      </x:c>
      <x:c r="C47" s="3" t="str">
        <x:v>POST</x:v>
      </x:c>
      <x:c r="D47" s="3" t="str">
        <x:v>/api/v1/workflows/{workflow_id}/runs/{run_id}/cancellation</x:v>
      </x:c>
      <x:c r="E47" s="3" t="str">
        <x:v>CancelRun</x:v>
      </x:c>
      <x:c r="F47" s="3" t="str">
        <x:v>当前登录User；私有资源校验owner</x:v>
      </x:c>
      <x:c r="G47" s="3" t="str">
        <x:v>WF-013</x:v>
      </x:c>
      <x:c r="H47" s="3" t="str">
        <x:v>取消排队与运行中任务</x:v>
      </x:c>
      <x:c r="I47" s="3" t="str">
        <x:v>合法输入成功持久化；非法输入不产生副作用；按合同验证版本冲突、重复请求和权限。</x:v>
      </x:c>
      <x:c r="J47" s="12" t="str">
        <x:v>未执行</x:v>
      </x:c>
      <x:c r="K47" s="3" t="str">
        <x:v>https://github.com/owl-go/agent-platform/blob/bb77a15d8b0cf6d760bb2e84fc3a432f7717052f/backend/api/workspace/v1/workspace.proto#L56</x:v>
      </x:c>
    </x:row>
    <x:row r="48" ht="42" customHeight="1">
      <x:c r="A48" s="3" t="str">
        <x:v>HTTP-044</x:v>
      </x:c>
      <x:c r="B48" s="3" t="str">
        <x:v>Workflow 与运行对话</x:v>
      </x:c>
      <x:c r="C48" s="3" t="str">
        <x:v>POST</x:v>
      </x:c>
      <x:c r="D48" s="3" t="str">
        <x:v>/api/v1/workflows/{workflow_id}/runs/{run_id}/rerun</x:v>
      </x:c>
      <x:c r="E48" s="3" t="str">
        <x:v>RerunWorkflow</x:v>
      </x:c>
      <x:c r="F48" s="3" t="str">
        <x:v>当前登录User；私有资源校验owner</x:v>
      </x:c>
      <x:c r="G48" s="3" t="str">
        <x:v>WF-014</x:v>
      </x:c>
      <x:c r="H48" s="3" t="str">
        <x:v>失败 Run 重跑</x:v>
      </x:c>
      <x:c r="I48" s="3" t="str">
        <x:v>合法输入成功持久化；非法输入不产生副作用；按合同验证版本冲突、重复请求和权限。</x:v>
      </x:c>
      <x:c r="J48" s="12" t="str">
        <x:v>未执行</x:v>
      </x:c>
      <x:c r="K48" s="3" t="str">
        <x:v>https://github.com/owl-go/agent-platform/blob/bb77a15d8b0cf6d760bb2e84fc3a432f7717052f/backend/api/workspace/v1/workspace.proto#L57</x:v>
      </x:c>
    </x:row>
    <x:row r="49" ht="42" customHeight="1">
      <x:c r="A49" s="3" t="str">
        <x:v>HTTP-045</x:v>
      </x:c>
      <x:c r="B49" s="3" t="str">
        <x:v>Artifact 与结果展示</x:v>
      </x:c>
      <x:c r="C49" s="3" t="str">
        <x:v>GET</x:v>
      </x:c>
      <x:c r="D49" s="3" t="str">
        <x:v>/api/v1/workflows/{workflow_id}/artifacts</x:v>
      </x:c>
      <x:c r="E49" s="3" t="str">
        <x:v>ListArtifacts</x:v>
      </x:c>
      <x:c r="F49" s="3" t="str">
        <x:v>当前登录User；私有资源校验owner</x:v>
      </x:c>
      <x:c r="G49" s="3" t="str">
        <x:v>ART-002</x:v>
      </x:c>
      <x:c r="H49" s="3" t="str">
        <x:v>Run 只捕获新增与修改文件</x:v>
      </x:c>
      <x:c r="I49" s="3" t="str">
        <x:v>核对列表/详情/字节与授权；缺失ID、跨owner、分页或过期按对应功能执行。</x:v>
      </x:c>
      <x:c r="J49" s="12" t="str">
        <x:v>未执行</x:v>
      </x:c>
      <x:c r="K49" s="3" t="str">
        <x:v>https://github.com/owl-go/agent-platform/blob/bb77a15d8b0cf6d760bb2e84fc3a432f7717052f/backend/api/workspace/v1/workspace.proto#L58</x:v>
      </x:c>
    </x:row>
    <x:row r="50" ht="42" customHeight="1">
      <x:c r="A50" s="3" t="str">
        <x:v>HTTP-046</x:v>
      </x:c>
      <x:c r="B50" s="3" t="str">
        <x:v>Workspace 与 Git</x:v>
      </x:c>
      <x:c r="C50" s="3" t="str">
        <x:v>GET</x:v>
      </x:c>
      <x:c r="D50" s="3" t="str">
        <x:v>/api/v1/workflows/{workflow_id}/workspace</x:v>
      </x:c>
      <x:c r="E50" s="3" t="str">
        <x:v>ListWorkspaceEntries</x:v>
      </x:c>
      <x:c r="F50" s="3" t="str">
        <x:v>当前登录User；私有资源校验owner</x:v>
      </x:c>
      <x:c r="G50" s="3" t="str">
        <x:v>WSP-001</x:v>
      </x:c>
      <x:c r="H50" s="3" t="str">
        <x:v>只读目录树浏览</x:v>
      </x:c>
      <x:c r="I50" s="3" t="str">
        <x:v>核对列表/详情/字节与授权；缺失ID、跨owner、分页或过期按对应功能执行。</x:v>
      </x:c>
      <x:c r="J50" s="12" t="str">
        <x:v>未执行</x:v>
      </x:c>
      <x:c r="K50" s="3" t="str">
        <x:v>https://github.com/owl-go/agent-platform/blob/bb77a15d8b0cf6d760bb2e84fc3a432f7717052f/backend/api/workspace/v1/workspace.proto#L60</x:v>
      </x:c>
    </x:row>
    <x:row r="51" ht="42" customHeight="1">
      <x:c r="A51" s="3" t="str">
        <x:v>HTTP-047</x:v>
      </x:c>
      <x:c r="B51" s="3" t="str">
        <x:v>Workspace 与 Git</x:v>
      </x:c>
      <x:c r="C51" s="3" t="str">
        <x:v>GET</x:v>
      </x:c>
      <x:c r="D51" s="3" t="str">
        <x:v>/api/v1/workflows/{workflow_id}/workspace/file</x:v>
      </x:c>
      <x:c r="E51" s="3" t="str">
        <x:v>GetWorkspaceFile</x:v>
      </x:c>
      <x:c r="F51" s="3" t="str">
        <x:v>当前登录User；私有资源校验owner</x:v>
      </x:c>
      <x:c r="G51" s="3" t="str">
        <x:v>WSP-002</x:v>
      </x:c>
      <x:c r="H51" s="3" t="str">
        <x:v>文本预览边界</x:v>
      </x:c>
      <x:c r="I51" s="3" t="str">
        <x:v>核对列表/详情/字节与授权；缺失ID、跨owner、分页或过期按对应功能执行。</x:v>
      </x:c>
      <x:c r="J51" s="12" t="str">
        <x:v>未执行</x:v>
      </x:c>
      <x:c r="K51" s="3" t="str">
        <x:v>https://github.com/owl-go/agent-platform/blob/bb77a15d8b0cf6d760bb2e84fc3a432f7717052f/backend/api/workspace/v1/workspace.proto#L61</x:v>
      </x:c>
    </x:row>
    <x:row r="52" ht="42" customHeight="1">
      <x:c r="A52" s="3" t="str">
        <x:v>HTTP-048</x:v>
      </x:c>
      <x:c r="B52" s="3" t="str">
        <x:v>Workspace 与 Git</x:v>
      </x:c>
      <x:c r="C52" s="3" t="str">
        <x:v>PUT</x:v>
      </x:c>
      <x:c r="D52" s="3" t="str">
        <x:v>/api/v1/workflows/{workflow_id}/git-source</x:v>
      </x:c>
      <x:c r="E52" s="3" t="str">
        <x:v>ConfigureWorkflowGitSource</x:v>
      </x:c>
      <x:c r="F52" s="3" t="str">
        <x:v>当前登录User；私有资源校验owner</x:v>
      </x:c>
      <x:c r="G52" s="3" t="str">
        <x:v>WSP-008</x:v>
      </x:c>
      <x:c r="H52" s="3" t="str">
        <x:v>公共 HTTPS 克隆</x:v>
      </x:c>
      <x:c r="I52" s="3" t="str">
        <x:v>合法输入成功持久化；非法输入不产生副作用；按合同验证版本冲突、重复请求和权限。</x:v>
      </x:c>
      <x:c r="J52" s="12" t="str">
        <x:v>未执行</x:v>
      </x:c>
      <x:c r="K52" s="3" t="str">
        <x:v>https://github.com/owl-go/agent-platform/blob/bb77a15d8b0cf6d760bb2e84fc3a432f7717052f/backend/api/workspace/v1/workspace.proto#L62</x:v>
      </x:c>
    </x:row>
    <x:row r="53" ht="42" customHeight="1">
      <x:c r="A53" s="3" t="str">
        <x:v>HTTP-049</x:v>
      </x:c>
      <x:c r="B53" s="3" t="str">
        <x:v>Expert 专家管理</x:v>
      </x:c>
      <x:c r="C53" s="3" t="str">
        <x:v>GET</x:v>
      </x:c>
      <x:c r="D53" s="3" t="str">
        <x:v>/api/v1/experts</x:v>
      </x:c>
      <x:c r="E53" s="3" t="str">
        <x:v>ListExperts</x:v>
      </x:c>
      <x:c r="F53" s="3" t="str">
        <x:v>当前登录User；私有资源校验owner</x:v>
      </x:c>
      <x:c r="G53" s="3" t="str">
        <x:v>EXP-010</x:v>
      </x:c>
      <x:c r="H53" s="3" t="str">
        <x:v>搜索和标签筛选</x:v>
      </x:c>
      <x:c r="I53" s="3" t="str">
        <x:v>核对列表/详情/字节与授权；缺失ID、跨owner、分页或过期按对应功能执行。</x:v>
      </x:c>
      <x:c r="J53" s="12" t="str">
        <x:v>未执行</x:v>
      </x:c>
      <x:c r="K53" s="3" t="str">
        <x:v>https://github.com/owl-go/agent-platform/blob/bb77a15d8b0cf6d760bb2e84fc3a432f7717052f/backend/api/workspace/v1/workspace.proto#L64</x:v>
      </x:c>
    </x:row>
    <x:row r="54" ht="42" customHeight="1">
      <x:c r="A54" s="3" t="str">
        <x:v>HTTP-050</x:v>
      </x:c>
      <x:c r="B54" s="3" t="str">
        <x:v>Expert 专家管理</x:v>
      </x:c>
      <x:c r="C54" s="3" t="str">
        <x:v>GET</x:v>
      </x:c>
      <x:c r="D54" s="3" t="str">
        <x:v>/api/v1/experts/{expert_id}</x:v>
      </x:c>
      <x:c r="E54" s="3" t="str">
        <x:v>GetExpert</x:v>
      </x:c>
      <x:c r="F54" s="3" t="str">
        <x:v>当前登录User；私有资源校验owner</x:v>
      </x:c>
      <x:c r="G54" s="3" t="str">
        <x:v>EXP-012</x:v>
      </x:c>
      <x:c r="H54" s="3" t="str">
        <x:v>详情显示关联资源</x:v>
      </x:c>
      <x:c r="I54" s="3" t="str">
        <x:v>核对列表/详情/字节与授权；缺失ID、跨owner、分页或过期按对应功能执行。</x:v>
      </x:c>
      <x:c r="J54" s="12" t="str">
        <x:v>未执行</x:v>
      </x:c>
      <x:c r="K54" s="3" t="str">
        <x:v>https://github.com/owl-go/agent-platform/blob/bb77a15d8b0cf6d760bb2e84fc3a432f7717052f/backend/api/workspace/v1/workspace.proto#L65</x:v>
      </x:c>
    </x:row>
    <x:row r="55" ht="42" customHeight="1">
      <x:c r="A55" s="3" t="str">
        <x:v>HTTP-051</x:v>
      </x:c>
      <x:c r="B55" s="3" t="str">
        <x:v>Expert 专家管理</x:v>
      </x:c>
      <x:c r="C55" s="3" t="str">
        <x:v>POST</x:v>
      </x:c>
      <x:c r="D55" s="3" t="str">
        <x:v>/api/v1/experts</x:v>
      </x:c>
      <x:c r="E55" s="3" t="str">
        <x:v>CreateExpert</x:v>
      </x:c>
      <x:c r="F55" s="3" t="str">
        <x:v>当前登录User；私有资源校验owner</x:v>
      </x:c>
      <x:c r="G55" s="3" t="str">
        <x:v>EXP-001</x:v>
      </x:c>
      <x:c r="H55" s="3" t="str">
        <x:v>创建结构化 Expert</x:v>
      </x:c>
      <x:c r="I55" s="3" t="str">
        <x:v>合法输入成功持久化；非法输入不产生副作用；按合同验证版本冲突、重复请求和权限。</x:v>
      </x:c>
      <x:c r="J55" s="12" t="str">
        <x:v>未执行</x:v>
      </x:c>
      <x:c r="K55" s="3" t="str">
        <x:v>https://github.com/owl-go/agent-platform/blob/bb77a15d8b0cf6d760bb2e84fc3a432f7717052f/backend/api/workspace/v1/workspace.proto#L66</x:v>
      </x:c>
    </x:row>
    <x:row r="56" ht="42" customHeight="1">
      <x:c r="A56" s="3" t="str">
        <x:v>HTTP-052</x:v>
      </x:c>
      <x:c r="B56" s="3" t="str">
        <x:v>Expert 专家管理</x:v>
      </x:c>
      <x:c r="C56" s="3" t="str">
        <x:v>PATCH</x:v>
      </x:c>
      <x:c r="D56" s="3" t="str">
        <x:v>/api/v1/experts/{expert_id}</x:v>
      </x:c>
      <x:c r="E56" s="3" t="str">
        <x:v>UpdateExpert</x:v>
      </x:c>
      <x:c r="F56" s="3" t="str">
        <x:v>当前登录User；私有资源校验owner</x:v>
      </x:c>
      <x:c r="G56" s="3" t="str">
        <x:v>EXP-015</x:v>
      </x:c>
      <x:c r="H56" s="3" t="str">
        <x:v>编辑不改历史快照</x:v>
      </x:c>
      <x:c r="I56" s="3" t="str">
        <x:v>合法输入成功持久化；非法输入不产生副作用；按合同验证版本冲突、重复请求和权限。</x:v>
      </x:c>
      <x:c r="J56" s="12" t="str">
        <x:v>未执行</x:v>
      </x:c>
      <x:c r="K56" s="3" t="str">
        <x:v>https://github.com/owl-go/agent-platform/blob/bb77a15d8b0cf6d760bb2e84fc3a432f7717052f/backend/api/workspace/v1/workspace.proto#L67</x:v>
      </x:c>
    </x:row>
    <x:row r="57" ht="42" customHeight="1">
      <x:c r="A57" s="3" t="str">
        <x:v>HTTP-053</x:v>
      </x:c>
      <x:c r="B57" s="3" t="str">
        <x:v>Expert 专家管理</x:v>
      </x:c>
      <x:c r="C57" s="3" t="str">
        <x:v>DELETE</x:v>
      </x:c>
      <x:c r="D57" s="3" t="str">
        <x:v>/api/v1/experts/{expert_id}</x:v>
      </x:c>
      <x:c r="E57" s="3" t="str">
        <x:v>DeleteExpert</x:v>
      </x:c>
      <x:c r="F57" s="3" t="str">
        <x:v>当前登录User；私有资源校验owner</x:v>
      </x:c>
      <x:c r="G57" s="3" t="str">
        <x:v>EXP-016</x:v>
      </x:c>
      <x:c r="H57" s="3" t="str">
        <x:v>团队引用阻止删除 Expert</x:v>
      </x:c>
      <x:c r="I57" s="3" t="str">
        <x:v>合法输入成功持久化；非法输入不产生副作用；按合同验证版本冲突、重复请求和权限。</x:v>
      </x:c>
      <x:c r="J57" s="12" t="str">
        <x:v>未执行</x:v>
      </x:c>
      <x:c r="K57" s="3" t="str">
        <x:v>https://github.com/owl-go/agent-platform/blob/bb77a15d8b0cf6d760bb2e84fc3a432f7717052f/backend/api/workspace/v1/workspace.proto#L68</x:v>
      </x:c>
    </x:row>
    <x:row r="58" ht="42" customHeight="1">
      <x:c r="A58" s="3" t="str">
        <x:v>HTTP-054</x:v>
      </x:c>
      <x:c r="B58" s="3" t="str">
        <x:v>Expert Team 协作</x:v>
      </x:c>
      <x:c r="C58" s="3" t="str">
        <x:v>GET</x:v>
      </x:c>
      <x:c r="D58" s="3" t="str">
        <x:v>/api/v1/expert-teams</x:v>
      </x:c>
      <x:c r="E58" s="3" t="str">
        <x:v>ListExpertTeams</x:v>
      </x:c>
      <x:c r="F58" s="3" t="str">
        <x:v>当前登录User；私有资源校验owner</x:v>
      </x:c>
      <x:c r="G58" s="3" t="str">
        <x:v>TEAM-001</x:v>
      </x:c>
      <x:c r="H58" s="3" t="str">
        <x:v>创建两成员团队</x:v>
      </x:c>
      <x:c r="I58" s="3" t="str">
        <x:v>核对列表/详情/字节与授权；缺失ID、跨owner、分页或过期按对应功能执行。</x:v>
      </x:c>
      <x:c r="J58" s="12" t="str">
        <x:v>未执行</x:v>
      </x:c>
      <x:c r="K58" s="3" t="str">
        <x:v>https://github.com/owl-go/agent-platform/blob/bb77a15d8b0cf6d760bb2e84fc3a432f7717052f/backend/api/workspace/v1/workspace.proto#L69</x:v>
      </x:c>
    </x:row>
    <x:row r="59" ht="42" customHeight="1">
      <x:c r="A59" s="3" t="str">
        <x:v>HTTP-055</x:v>
      </x:c>
      <x:c r="B59" s="3" t="str">
        <x:v>Expert Team 协作</x:v>
      </x:c>
      <x:c r="C59" s="3" t="str">
        <x:v>GET</x:v>
      </x:c>
      <x:c r="D59" s="3" t="str">
        <x:v>/api/v1/expert-teams/{expert_team_id}</x:v>
      </x:c>
      <x:c r="E59" s="3" t="str">
        <x:v>GetExpertTeam</x:v>
      </x:c>
      <x:c r="F59" s="3" t="str">
        <x:v>当前登录User；私有资源校验owner</x:v>
      </x:c>
      <x:c r="G59" s="3" t="str">
        <x:v>TEAM-001</x:v>
      </x:c>
      <x:c r="H59" s="3" t="str">
        <x:v>创建两成员团队</x:v>
      </x:c>
      <x:c r="I59" s="3" t="str">
        <x:v>核对列表/详情/字节与授权；缺失ID、跨owner、分页或过期按对应功能执行。</x:v>
      </x:c>
      <x:c r="J59" s="12" t="str">
        <x:v>未执行</x:v>
      </x:c>
      <x:c r="K59" s="3" t="str">
        <x:v>https://github.com/owl-go/agent-platform/blob/bb77a15d8b0cf6d760bb2e84fc3a432f7717052f/backend/api/workspace/v1/workspace.proto#L70</x:v>
      </x:c>
    </x:row>
    <x:row r="60" ht="42" customHeight="1">
      <x:c r="A60" s="3" t="str">
        <x:v>HTTP-056</x:v>
      </x:c>
      <x:c r="B60" s="3" t="str">
        <x:v>Expert Team 协作</x:v>
      </x:c>
      <x:c r="C60" s="3" t="str">
        <x:v>POST</x:v>
      </x:c>
      <x:c r="D60" s="3" t="str">
        <x:v>/api/v1/expert-teams</x:v>
      </x:c>
      <x:c r="E60" s="3" t="str">
        <x:v>CreateExpertTeam</x:v>
      </x:c>
      <x:c r="F60" s="3" t="str">
        <x:v>当前登录User；私有资源校验owner</x:v>
      </x:c>
      <x:c r="G60" s="3" t="str">
        <x:v>TEAM-001</x:v>
      </x:c>
      <x:c r="H60" s="3" t="str">
        <x:v>创建两成员团队</x:v>
      </x:c>
      <x:c r="I60" s="3" t="str">
        <x:v>合法输入成功持久化；非法输入不产生副作用；按合同验证版本冲突、重复请求和权限。</x:v>
      </x:c>
      <x:c r="J60" s="12" t="str">
        <x:v>未执行</x:v>
      </x:c>
      <x:c r="K60" s="3" t="str">
        <x:v>https://github.com/owl-go/agent-platform/blob/bb77a15d8b0cf6d760bb2e84fc3a432f7717052f/backend/api/workspace/v1/workspace.proto#L71</x:v>
      </x:c>
    </x:row>
    <x:row r="61" ht="42" customHeight="1">
      <x:c r="A61" s="3" t="str">
        <x:v>HTTP-057</x:v>
      </x:c>
      <x:c r="B61" s="3" t="str">
        <x:v>Expert Team 协作</x:v>
      </x:c>
      <x:c r="C61" s="3" t="str">
        <x:v>PATCH</x:v>
      </x:c>
      <x:c r="D61" s="3" t="str">
        <x:v>/api/v1/expert-teams/{expert_team_id}</x:v>
      </x:c>
      <x:c r="E61" s="3" t="str">
        <x:v>UpdateExpertTeam</x:v>
      </x:c>
      <x:c r="F61" s="3" t="str">
        <x:v>当前登录User；私有资源校验owner</x:v>
      </x:c>
      <x:c r="G61" s="3" t="str">
        <x:v>TEAM-006</x:v>
      </x:c>
      <x:c r="H61" s="3" t="str">
        <x:v>排序不更换成员身份</x:v>
      </x:c>
      <x:c r="I61" s="3" t="str">
        <x:v>合法输入成功持久化；非法输入不产生副作用；按合同验证版本冲突、重复请求和权限。</x:v>
      </x:c>
      <x:c r="J61" s="12" t="str">
        <x:v>未执行</x:v>
      </x:c>
      <x:c r="K61" s="3" t="str">
        <x:v>https://github.com/owl-go/agent-platform/blob/bb77a15d8b0cf6d760bb2e84fc3a432f7717052f/backend/api/workspace/v1/workspace.proto#L72</x:v>
      </x:c>
    </x:row>
    <x:row r="62" ht="42" customHeight="1">
      <x:c r="A62" s="3" t="str">
        <x:v>HTTP-058</x:v>
      </x:c>
      <x:c r="B62" s="3" t="str">
        <x:v>Expert Team 协作</x:v>
      </x:c>
      <x:c r="C62" s="3" t="str">
        <x:v>DELETE</x:v>
      </x:c>
      <x:c r="D62" s="3" t="str">
        <x:v>/api/v1/expert-teams/{expert_team_id}</x:v>
      </x:c>
      <x:c r="E62" s="3" t="str">
        <x:v>DeleteExpertTeam</x:v>
      </x:c>
      <x:c r="F62" s="3" t="str">
        <x:v>当前登录User；私有资源校验owner</x:v>
      </x:c>
      <x:c r="G62" s="3" t="str">
        <x:v>TEAM-019</x:v>
      </x:c>
      <x:c r="H62" s="3" t="str">
        <x:v>删除团队对可变引用清理</x:v>
      </x:c>
      <x:c r="I62" s="3" t="str">
        <x:v>合法输入成功持久化；非法输入不产生副作用；按合同验证版本冲突、重复请求和权限。</x:v>
      </x:c>
      <x:c r="J62" s="12" t="str">
        <x:v>未执行</x:v>
      </x:c>
      <x:c r="K62" s="3" t="str">
        <x:v>https://github.com/owl-go/agent-platform/blob/bb77a15d8b0cf6d760bb2e84fc3a432f7717052f/backend/api/workspace/v1/workspace.proto#L73</x:v>
      </x:c>
    </x:row>
    <x:row r="63" ht="42" customHeight="1">
      <x:c r="A63" s="3" t="str">
        <x:v>HTTP-059</x:v>
      </x:c>
      <x:c r="B63" s="3" t="str">
        <x:v>模型目录与个人设置</x:v>
      </x:c>
      <x:c r="C63" s="3" t="str">
        <x:v>GET</x:v>
      </x:c>
      <x:c r="D63" s="3" t="str">
        <x:v>/api/v1/settings</x:v>
      </x:c>
      <x:c r="E63" s="3" t="str">
        <x:v>GetSettings</x:v>
      </x:c>
      <x:c r="F63" s="3" t="str">
        <x:v>当前登录User；私有资源校验owner</x:v>
      </x:c>
      <x:c r="G63" s="3" t="str">
        <x:v>SET-012</x:v>
      </x:c>
      <x:c r="H63" s="3" t="str">
        <x:v>五 Runtime 各设默认模型</x:v>
      </x:c>
      <x:c r="I63" s="3" t="str">
        <x:v>核对列表/详情/字节与授权；缺失ID、跨owner、分页或过期按对应功能执行。</x:v>
      </x:c>
      <x:c r="J63" s="12" t="str">
        <x:v>未执行</x:v>
      </x:c>
      <x:c r="K63" s="3" t="str">
        <x:v>https://github.com/owl-go/agent-platform/blob/bb77a15d8b0cf6d760bb2e84fc3a432f7717052f/backend/api/workspace/v1/workspace.proto#L75</x:v>
      </x:c>
    </x:row>
    <x:row r="64" ht="42" customHeight="1">
      <x:c r="A64" s="3" t="str">
        <x:v>HTTP-060</x:v>
      </x:c>
      <x:c r="B64" s="3" t="str">
        <x:v>模型目录与个人设置</x:v>
      </x:c>
      <x:c r="C64" s="3" t="str">
        <x:v>PATCH</x:v>
      </x:c>
      <x:c r="D64" s="3" t="str">
        <x:v>/api/v1/settings</x:v>
      </x:c>
      <x:c r="E64" s="3" t="str">
        <x:v>UpdateSettings</x:v>
      </x:c>
      <x:c r="F64" s="3" t="str">
        <x:v>当前登录User；私有资源校验owner</x:v>
      </x:c>
      <x:c r="G64" s="3" t="str">
        <x:v>SET-017</x:v>
      </x:c>
      <x:c r="H64" s="3" t="str">
        <x:v>个人设置乐观锁</x:v>
      </x:c>
      <x:c r="I64" s="3" t="str">
        <x:v>合法输入成功持久化；非法输入不产生副作用；按合同验证版本冲突、重复请求和权限。</x:v>
      </x:c>
      <x:c r="J64" s="12" t="str">
        <x:v>未执行</x:v>
      </x:c>
      <x:c r="K64" s="3" t="str">
        <x:v>https://github.com/owl-go/agent-platform/blob/bb77a15d8b0cf6d760bb2e84fc3a432f7717052f/backend/api/workspace/v1/workspace.proto#L76</x:v>
      </x:c>
    </x:row>
    <x:row r="65" ht="42" customHeight="1">
      <x:c r="A65" s="3" t="str">
        <x:v>HTTP-061</x:v>
      </x:c>
      <x:c r="B65" s="3" t="str">
        <x:v>模型目录与个人设置</x:v>
      </x:c>
      <x:c r="C65" s="3" t="str">
        <x:v>GET</x:v>
      </x:c>
      <x:c r="D65" s="3" t="str">
        <x:v>/api/v1/runtime-engines</x:v>
      </x:c>
      <x:c r="E65" s="3" t="str">
        <x:v>ListRuntimeEngines</x:v>
      </x:c>
      <x:c r="F65" s="3" t="str">
        <x:v>已登录用户读取全局可用目录</x:v>
      </x:c>
      <x:c r="G65" s="3" t="str">
        <x:v>SET-012</x:v>
      </x:c>
      <x:c r="H65" s="3" t="str">
        <x:v>五 Runtime 各设默认模型</x:v>
      </x:c>
      <x:c r="I65" s="3" t="str">
        <x:v>核对列表/详情/字节与授权；缺失ID、跨owner、分页或过期按对应功能执行。</x:v>
      </x:c>
      <x:c r="J65" s="12" t="str">
        <x:v>未执行</x:v>
      </x:c>
      <x:c r="K65" s="3" t="str">
        <x:v>https://github.com/owl-go/agent-platform/blob/bb77a15d8b0cf6d760bb2e84fc3a432f7717052f/backend/api/workspace/v1/workspace.proto#L77</x:v>
      </x:c>
    </x:row>
    <x:row r="66" ht="42" customHeight="1">
      <x:c r="A66" s="3" t="str">
        <x:v>HTTP-062</x:v>
      </x:c>
      <x:c r="B66" s="3" t="str">
        <x:v>模型目录与个人设置</x:v>
      </x:c>
      <x:c r="C66" s="3" t="str">
        <x:v>GET</x:v>
      </x:c>
      <x:c r="D66" s="3" t="str">
        <x:v>/api/v1/model-provider-presets</x:v>
      </x:c>
      <x:c r="E66" s="3" t="str">
        <x:v>ListModelProviderPresets</x:v>
      </x:c>
      <x:c r="F66" s="3" t="str">
        <x:v>已登录用户读取全局可用目录</x:v>
      </x:c>
      <x:c r="G66" s="3" t="str">
        <x:v>SET-001</x:v>
      </x:c>
      <x:c r="H66" s="3" t="str">
        <x:v>内置 Provider 预置</x:v>
      </x:c>
      <x:c r="I66" s="3" t="str">
        <x:v>核对列表/详情/字节与授权；缺失ID、跨owner、分页或过期按对应功能执行。</x:v>
      </x:c>
      <x:c r="J66" s="12" t="str">
        <x:v>未执行</x:v>
      </x:c>
      <x:c r="K66" s="3" t="str">
        <x:v>https://github.com/owl-go/agent-platform/blob/bb77a15d8b0cf6d760bb2e84fc3a432f7717052f/backend/api/workspace/v1/workspace.proto#L78</x:v>
      </x:c>
    </x:row>
    <x:row r="67" ht="42" customHeight="1">
      <x:c r="A67" s="3" t="str">
        <x:v>HTTP-063</x:v>
      </x:c>
      <x:c r="B67" s="3" t="str">
        <x:v>模型目录与个人设置</x:v>
      </x:c>
      <x:c r="C67" s="3" t="str">
        <x:v>GET</x:v>
      </x:c>
      <x:c r="D67" s="3" t="str">
        <x:v>/api/v1/model-provider-connections</x:v>
      </x:c>
      <x:c r="E67" s="3" t="str">
        <x:v>ListModelProviderConnections</x:v>
      </x:c>
      <x:c r="F67" s="3" t="str">
        <x:v>已登录用户读取全局可用目录</x:v>
      </x:c>
      <x:c r="G67" s="3" t="str">
        <x:v>SET-002</x:v>
      </x:c>
      <x:c r="H67" s="3" t="str">
        <x:v>管理员创建全局连接</x:v>
      </x:c>
      <x:c r="I67" s="3" t="str">
        <x:v>核对列表/详情/字节与授权；缺失ID、跨owner、分页或过期按对应功能执行。</x:v>
      </x:c>
      <x:c r="J67" s="12" t="str">
        <x:v>未执行</x:v>
      </x:c>
      <x:c r="K67" s="3" t="str">
        <x:v>https://github.com/owl-go/agent-platform/blob/bb77a15d8b0cf6d760bb2e84fc3a432f7717052f/backend/api/workspace/v1/workspace.proto#L79</x:v>
      </x:c>
    </x:row>
    <x:row r="68" ht="42" customHeight="1">
      <x:c r="A68" s="3" t="str">
        <x:v>HTTP-064</x:v>
      </x:c>
      <x:c r="B68" s="3" t="str">
        <x:v>模型目录与个人设置</x:v>
      </x:c>
      <x:c r="C68" s="3" t="str">
        <x:v>POST</x:v>
      </x:c>
      <x:c r="D68" s="3" t="str">
        <x:v>/api/v1/model-provider-connections</x:v>
      </x:c>
      <x:c r="E68" s="3" t="str">
        <x:v>CreateModelProviderConnection</x:v>
      </x:c>
      <x:c r="F68" s="3" t="str">
        <x:v>Administrator；管理全局/账号元数据</x:v>
      </x:c>
      <x:c r="G68" s="3" t="str">
        <x:v>SET-002</x:v>
      </x:c>
      <x:c r="H68" s="3" t="str">
        <x:v>管理员创建全局连接</x:v>
      </x:c>
      <x:c r="I68" s="3" t="str">
        <x:v>合法输入成功持久化；非法输入不产生副作用；按合同验证版本冲突、重复请求和权限。</x:v>
      </x:c>
      <x:c r="J68" s="12" t="str">
        <x:v>未执行</x:v>
      </x:c>
      <x:c r="K68" s="3" t="str">
        <x:v>https://github.com/owl-go/agent-platform/blob/bb77a15d8b0cf6d760bb2e84fc3a432f7717052f/backend/api/workspace/v1/workspace.proto#L80</x:v>
      </x:c>
    </x:row>
    <x:row r="69" ht="42" customHeight="1">
      <x:c r="A69" s="3" t="str">
        <x:v>HTTP-065</x:v>
      </x:c>
      <x:c r="B69" s="3" t="str">
        <x:v>模型目录与个人设置</x:v>
      </x:c>
      <x:c r="C69" s="3" t="str">
        <x:v>PATCH</x:v>
      </x:c>
      <x:c r="D69" s="3" t="str">
        <x:v>/api/v1/model-provider-connections/{connection_id}</x:v>
      </x:c>
      <x:c r="E69" s="3" t="str">
        <x:v>UpdateModelProviderConnection</x:v>
      </x:c>
      <x:c r="F69" s="3" t="str">
        <x:v>Administrator；管理全局/账号元数据</x:v>
      </x:c>
      <x:c r="G69" s="3" t="str">
        <x:v>SET-004</x:v>
      </x:c>
      <x:c r="H69" s="3" t="str">
        <x:v>API Key 只写及替换</x:v>
      </x:c>
      <x:c r="I69" s="3" t="str">
        <x:v>合法输入成功持久化；非法输入不产生副作用；按合同验证版本冲突、重复请求和权限。</x:v>
      </x:c>
      <x:c r="J69" s="12" t="str">
        <x:v>未执行</x:v>
      </x:c>
      <x:c r="K69" s="3" t="str">
        <x:v>https://github.com/owl-go/agent-platform/blob/bb77a15d8b0cf6d760bb2e84fc3a432f7717052f/backend/api/workspace/v1/workspace.proto#L81</x:v>
      </x:c>
    </x:row>
    <x:row r="70" ht="42" customHeight="1">
      <x:c r="A70" s="3" t="str">
        <x:v>HTTP-066</x:v>
      </x:c>
      <x:c r="B70" s="3" t="str">
        <x:v>模型目录与个人设置</x:v>
      </x:c>
      <x:c r="C70" s="3" t="str">
        <x:v>DELETE</x:v>
      </x:c>
      <x:c r="D70" s="3" t="str">
        <x:v>/api/v1/model-provider-connections/{connection_id}</x:v>
      </x:c>
      <x:c r="E70" s="3" t="str">
        <x:v>DeleteModelProviderConnection</x:v>
      </x:c>
      <x:c r="F70" s="3" t="str">
        <x:v>Administrator；管理全局/账号元数据</x:v>
      </x:c>
      <x:c r="G70" s="3" t="str">
        <x:v>SET-016</x:v>
      </x:c>
      <x:c r="H70" s="3" t="str">
        <x:v>连接删除依赖保护</x:v>
      </x:c>
      <x:c r="I70" s="3" t="str">
        <x:v>合法输入成功持久化；非法输入不产生副作用；按合同验证版本冲突、重复请求和权限。</x:v>
      </x:c>
      <x:c r="J70" s="12" t="str">
        <x:v>未执行</x:v>
      </x:c>
      <x:c r="K70" s="3" t="str">
        <x:v>https://github.com/owl-go/agent-platform/blob/bb77a15d8b0cf6d760bb2e84fc3a432f7717052f/backend/api/workspace/v1/workspace.proto#L82</x:v>
      </x:c>
    </x:row>
    <x:row r="71" ht="42" customHeight="1">
      <x:c r="A71" s="3" t="str">
        <x:v>HTTP-067</x:v>
      </x:c>
      <x:c r="B71" s="3" t="str">
        <x:v>模型目录与个人设置</x:v>
      </x:c>
      <x:c r="C71" s="3" t="str">
        <x:v>POST</x:v>
      </x:c>
      <x:c r="D71" s="3" t="str">
        <x:v>/api/v1/model-provider-connections/{connection_id}/refresh</x:v>
      </x:c>
      <x:c r="E71" s="3" t="str">
        <x:v>RefreshProviderModels</x:v>
      </x:c>
      <x:c r="F71" s="3" t="str">
        <x:v>Administrator；管理全局/账号元数据</x:v>
      </x:c>
      <x:c r="G71" s="3" t="str">
        <x:v>SET-008</x:v>
      </x:c>
      <x:c r="H71" s="3" t="str">
        <x:v>/models 发现成功</x:v>
      </x:c>
      <x:c r="I71" s="3" t="str">
        <x:v>合法输入成功持久化；非法输入不产生副作用；按合同验证版本冲突、重复请求和权限。</x:v>
      </x:c>
      <x:c r="J71" s="12" t="str">
        <x:v>未执行</x:v>
      </x:c>
      <x:c r="K71" s="3" t="str">
        <x:v>https://github.com/owl-go/agent-platform/blob/bb77a15d8b0cf6d760bb2e84fc3a432f7717052f/backend/api/workspace/v1/workspace.proto#L83</x:v>
      </x:c>
    </x:row>
    <x:row r="72" ht="42" customHeight="1">
      <x:c r="A72" s="3" t="str">
        <x:v>HTTP-068</x:v>
      </x:c>
      <x:c r="B72" s="3" t="str">
        <x:v>模型目录与个人设置</x:v>
      </x:c>
      <x:c r="C72" s="3" t="str">
        <x:v>POST</x:v>
      </x:c>
      <x:c r="D72" s="3" t="str">
        <x:v>/api/v1/model-provider-connections/{connection_id}/models</x:v>
      </x:c>
      <x:c r="E72" s="3" t="str">
        <x:v>CreateProviderModel</x:v>
      </x:c>
      <x:c r="F72" s="3" t="str">
        <x:v>Administrator；管理全局/账号元数据</x:v>
      </x:c>
      <x:c r="G72" s="3" t="str">
        <x:v>SET-010</x:v>
      </x:c>
      <x:c r="H72" s="3" t="str">
        <x:v>自定义无默认时可手工加模型</x:v>
      </x:c>
      <x:c r="I72" s="3" t="str">
        <x:v>合法输入成功持久化；非法输入不产生副作用；按合同验证版本冲突、重复请求和权限。</x:v>
      </x:c>
      <x:c r="J72" s="12" t="str">
        <x:v>未执行</x:v>
      </x:c>
      <x:c r="K72" s="3" t="str">
        <x:v>https://github.com/owl-go/agent-platform/blob/bb77a15d8b0cf6d760bb2e84fc3a432f7717052f/backend/api/workspace/v1/workspace.proto#L84</x:v>
      </x:c>
    </x:row>
    <x:row r="73" ht="42" customHeight="1">
      <x:c r="A73" s="3" t="str">
        <x:v>HTTP-069</x:v>
      </x:c>
      <x:c r="B73" s="3" t="str">
        <x:v>MCP Connector</x:v>
      </x:c>
      <x:c r="C73" s="3" t="str">
        <x:v>GET</x:v>
      </x:c>
      <x:c r="D73" s="3" t="str">
        <x:v>/api/v1/connectors/mcp</x:v>
      </x:c>
      <x:c r="E73" s="3" t="str">
        <x:v>ListMCPConnectors</x:v>
      </x:c>
      <x:c r="F73" s="3" t="str">
        <x:v>当前登录User；私有资源校验owner</x:v>
      </x:c>
      <x:c r="G73" s="3" t="str">
        <x:v>MCP-001</x:v>
      </x:c>
      <x:c r="H73" s="3" t="str">
        <x:v>创建 HTTPS Streamable HTTP</x:v>
      </x:c>
      <x:c r="I73" s="3" t="str">
        <x:v>核对列表/详情/字节与授权；缺失ID、跨owner、分页或过期按对应功能执行。</x:v>
      </x:c>
      <x:c r="J73" s="12" t="str">
        <x:v>未执行</x:v>
      </x:c>
      <x:c r="K73" s="3" t="str">
        <x:v>https://github.com/owl-go/agent-platform/blob/bb77a15d8b0cf6d760bb2e84fc3a432f7717052f/backend/api/workspace/v1/workspace.proto#L86</x:v>
      </x:c>
    </x:row>
    <x:row r="74" ht="42" customHeight="1">
      <x:c r="A74" s="3" t="str">
        <x:v>HTTP-070</x:v>
      </x:c>
      <x:c r="B74" s="3" t="str">
        <x:v>MCP Connector</x:v>
      </x:c>
      <x:c r="C74" s="3" t="str">
        <x:v>POST</x:v>
      </x:c>
      <x:c r="D74" s="3" t="str">
        <x:v>/api/v1/connectors/mcp</x:v>
      </x:c>
      <x:c r="E74" s="3" t="str">
        <x:v>CreateMCPConnector</x:v>
      </x:c>
      <x:c r="F74" s="3" t="str">
        <x:v>当前登录User；私有资源校验owner</x:v>
      </x:c>
      <x:c r="G74" s="3" t="str">
        <x:v>MCP-001</x:v>
      </x:c>
      <x:c r="H74" s="3" t="str">
        <x:v>创建 HTTPS Streamable HTTP</x:v>
      </x:c>
      <x:c r="I74" s="3" t="str">
        <x:v>合法输入成功持久化；非法输入不产生副作用；按合同验证版本冲突、重复请求和权限。</x:v>
      </x:c>
      <x:c r="J74" s="12" t="str">
        <x:v>未执行</x:v>
      </x:c>
      <x:c r="K74" s="3" t="str">
        <x:v>https://github.com/owl-go/agent-platform/blob/bb77a15d8b0cf6d760bb2e84fc3a432f7717052f/backend/api/workspace/v1/workspace.proto#L87</x:v>
      </x:c>
    </x:row>
    <x:row r="75" ht="42" customHeight="1">
      <x:c r="A75" s="3" t="str">
        <x:v>HTTP-071</x:v>
      </x:c>
      <x:c r="B75" s="3" t="str">
        <x:v>MCP Connector</x:v>
      </x:c>
      <x:c r="C75" s="3" t="str">
        <x:v>PATCH</x:v>
      </x:c>
      <x:c r="D75" s="3" t="str">
        <x:v>/api/v1/connectors/mcp/{mcp_connector_id}</x:v>
      </x:c>
      <x:c r="E75" s="3" t="str">
        <x:v>UpdateMCPConnector</x:v>
      </x:c>
      <x:c r="F75" s="3" t="str">
        <x:v>当前登录User；私有资源校验owner</x:v>
      </x:c>
      <x:c r="G75" s="3" t="str">
        <x:v>MCP-008</x:v>
      </x:c>
      <x:c r="H75" s="3" t="str">
        <x:v>更新配置需重验新修订</x:v>
      </x:c>
      <x:c r="I75" s="3" t="str">
        <x:v>合法输入成功持久化；非法输入不产生副作用；按合同验证版本冲突、重复请求和权限。</x:v>
      </x:c>
      <x:c r="J75" s="12" t="str">
        <x:v>未执行</x:v>
      </x:c>
      <x:c r="K75" s="3" t="str">
        <x:v>https://github.com/owl-go/agent-platform/blob/bb77a15d8b0cf6d760bb2e84fc3a432f7717052f/backend/api/workspace/v1/workspace.proto#L88</x:v>
      </x:c>
    </x:row>
    <x:row r="76" ht="42" customHeight="1">
      <x:c r="A76" s="3" t="str">
        <x:v>HTTP-072</x:v>
      </x:c>
      <x:c r="B76" s="3" t="str">
        <x:v>MCP Connector</x:v>
      </x:c>
      <x:c r="C76" s="3" t="str">
        <x:v>POST</x:v>
      </x:c>
      <x:c r="D76" s="3" t="str">
        <x:v>/api/v1/connectors/mcp/{mcp_connector_id}/test</x:v>
      </x:c>
      <x:c r="E76" s="3" t="str">
        <x:v>TestMCPConnector</x:v>
      </x:c>
      <x:c r="F76" s="3" t="str">
        <x:v>当前登录User；私有资源校验owner</x:v>
      </x:c>
      <x:c r="G76" s="3" t="str">
        <x:v>MCP-007</x:v>
      </x:c>
      <x:c r="H76" s="3" t="str">
        <x:v>MCP 测试失败恢复</x:v>
      </x:c>
      <x:c r="I76" s="3" t="str">
        <x:v>合法输入成功持久化；非法输入不产生副作用；按合同验证版本冲突、重复请求和权限。</x:v>
      </x:c>
      <x:c r="J76" s="12" t="str">
        <x:v>未执行</x:v>
      </x:c>
      <x:c r="K76" s="3" t="str">
        <x:v>https://github.com/owl-go/agent-platform/blob/bb77a15d8b0cf6d760bb2e84fc3a432f7717052f/backend/api/workspace/v1/workspace.proto#L89</x:v>
      </x:c>
    </x:row>
    <x:row r="77" ht="42" customHeight="1">
      <x:c r="A77" s="3" t="str">
        <x:v>HTTP-073</x:v>
      </x:c>
      <x:c r="B77" s="3" t="str">
        <x:v>MCP Connector</x:v>
      </x:c>
      <x:c r="C77" s="3" t="str">
        <x:v>GET</x:v>
      </x:c>
      <x:c r="D77" s="3" t="str">
        <x:v>/api/v1/connectors/mcp/{mcp_connector_id}/deletion-impact</x:v>
      </x:c>
      <x:c r="E77" s="3" t="str">
        <x:v>GetMCPConnectorDeletionImpact</x:v>
      </x:c>
      <x:c r="F77" s="3" t="str">
        <x:v>当前登录User；私有资源校验owner</x:v>
      </x:c>
      <x:c r="G77" s="3" t="str">
        <x:v>MCP-011</x:v>
      </x:c>
      <x:c r="H77" s="3" t="str">
        <x:v>删除影响与历史保留</x:v>
      </x:c>
      <x:c r="I77" s="3" t="str">
        <x:v>核对列表/详情/字节与授权；缺失ID、跨owner、分页或过期按对应功能执行。</x:v>
      </x:c>
      <x:c r="J77" s="12" t="str">
        <x:v>未执行</x:v>
      </x:c>
      <x:c r="K77" s="3" t="str">
        <x:v>https://github.com/owl-go/agent-platform/blob/bb77a15d8b0cf6d760bb2e84fc3a432f7717052f/backend/api/workspace/v1/workspace.proto#L90</x:v>
      </x:c>
    </x:row>
    <x:row r="78" ht="42" customHeight="1">
      <x:c r="A78" s="3" t="str">
        <x:v>HTTP-074</x:v>
      </x:c>
      <x:c r="B78" s="3" t="str">
        <x:v>MCP Connector</x:v>
      </x:c>
      <x:c r="C78" s="3" t="str">
        <x:v>DELETE</x:v>
      </x:c>
      <x:c r="D78" s="3" t="str">
        <x:v>/api/v1/connectors/mcp/{mcp_connector_id}</x:v>
      </x:c>
      <x:c r="E78" s="3" t="str">
        <x:v>DeleteMCPConnector</x:v>
      </x:c>
      <x:c r="F78" s="3" t="str">
        <x:v>当前登录User；私有资源校验owner</x:v>
      </x:c>
      <x:c r="G78" s="3" t="str">
        <x:v>MCP-011</x:v>
      </x:c>
      <x:c r="H78" s="3" t="str">
        <x:v>删除影响与历史保留</x:v>
      </x:c>
      <x:c r="I78" s="3" t="str">
        <x:v>合法输入成功持久化；非法输入不产生副作用；按合同验证版本冲突、重复请求和权限。</x:v>
      </x:c>
      <x:c r="J78" s="12" t="str">
        <x:v>未执行</x:v>
      </x:c>
      <x:c r="K78" s="3" t="str">
        <x:v>https://github.com/owl-go/agent-platform/blob/bb77a15d8b0cf6d760bb2e84fc3a432f7717052f/backend/api/workspace/v1/workspace.proto#L91</x:v>
      </x:c>
    </x:row>
    <x:row r="79" ht="42" customHeight="1">
      <x:c r="A79" s="3" t="str">
        <x:v>HTTP-075</x:v>
      </x:c>
      <x:c r="B79" s="3" t="str">
        <x:v>Skill 安装与目录</x:v>
      </x:c>
      <x:c r="C79" s="3" t="str">
        <x:v>GET</x:v>
      </x:c>
      <x:c r="D79" s="3" t="str">
        <x:v>/api/v1/skills</x:v>
      </x:c>
      <x:c r="E79" s="3" t="str">
        <x:v>ListSkills</x:v>
      </x:c>
      <x:c r="F79" s="3" t="str">
        <x:v>当前登录User；私有资源校验owner</x:v>
      </x:c>
      <x:c r="G79" s="3" t="str">
        <x:v>SKL-017</x:v>
      </x:c>
      <x:c r="H79" s="3" t="str">
        <x:v>仅自己的 Skill 目录</x:v>
      </x:c>
      <x:c r="I79" s="3" t="str">
        <x:v>核对列表/详情/字节与授权；缺失ID、跨owner、分页或过期按对应功能执行。</x:v>
      </x:c>
      <x:c r="J79" s="12" t="str">
        <x:v>未执行</x:v>
      </x:c>
      <x:c r="K79" s="3" t="str">
        <x:v>https://github.com/owl-go/agent-platform/blob/bb77a15d8b0cf6d760bb2e84fc3a432f7717052f/backend/api/workspace/v1/workspace.proto#L92</x:v>
      </x:c>
    </x:row>
    <x:row r="80" ht="42" customHeight="1">
      <x:c r="A80" s="3" t="str">
        <x:v>HTTP-076</x:v>
      </x:c>
      <x:c r="B80" s="3" t="str">
        <x:v>Skill 安装与目录</x:v>
      </x:c>
      <x:c r="C80" s="3" t="str">
        <x:v>POST</x:v>
      </x:c>
      <x:c r="D80" s="3" t="str">
        <x:v>/api/v1/skills</x:v>
      </x:c>
      <x:c r="E80" s="3" t="str">
        <x:v>CreateSkill</x:v>
      </x:c>
      <x:c r="F80" s="3" t="str">
        <x:v>当前登录User；私有资源校验owner</x:v>
      </x:c>
      <x:c r="G80" s="3" t="str">
        <x:v>SKL-001</x:v>
      </x:c>
      <x:c r="H80" s="3" t="str">
        <x:v>Git 安装固定修订</x:v>
      </x:c>
      <x:c r="I80" s="3" t="str">
        <x:v>合法输入成功持久化；非法输入不产生副作用；按合同验证版本冲突、重复请求和权限。</x:v>
      </x:c>
      <x:c r="J80" s="12" t="str">
        <x:v>未执行</x:v>
      </x:c>
      <x:c r="K80" s="3" t="str">
        <x:v>https://github.com/owl-go/agent-platform/blob/bb77a15d8b0cf6d760bb2e84fc3a432f7717052f/backend/api/workspace/v1/workspace.proto#L93</x:v>
      </x:c>
    </x:row>
    <x:row r="81" ht="42" customHeight="1">
      <x:c r="A81" s="3" t="str">
        <x:v>HTTP-077</x:v>
      </x:c>
      <x:c r="B81" s="3" t="str">
        <x:v>Skill 安装与目录</x:v>
      </x:c>
      <x:c r="C81" s="3" t="str">
        <x:v>PATCH</x:v>
      </x:c>
      <x:c r="D81" s="3" t="str">
        <x:v>/api/v1/skills/{skill_id}</x:v>
      </x:c>
      <x:c r="E81" s="3" t="str">
        <x:v>UpdateSkill</x:v>
      </x:c>
      <x:c r="F81" s="3" t="str">
        <x:v>当前登录User；私有资源校验owner</x:v>
      </x:c>
      <x:c r="G81" s="3" t="str">
        <x:v>SKL-012</x:v>
      </x:c>
      <x:c r="H81" s="3" t="str">
        <x:v>更新不修改旧快照</x:v>
      </x:c>
      <x:c r="I81" s="3" t="str">
        <x:v>合法输入成功持久化；非法输入不产生副作用；按合同验证版本冲突、重复请求和权限。</x:v>
      </x:c>
      <x:c r="J81" s="12" t="str">
        <x:v>未执行</x:v>
      </x:c>
      <x:c r="K81" s="3" t="str">
        <x:v>https://github.com/owl-go/agent-platform/blob/bb77a15d8b0cf6d760bb2e84fc3a432f7717052f/backend/api/workspace/v1/workspace.proto#L94</x:v>
      </x:c>
    </x:row>
    <x:row r="82" ht="42" customHeight="1">
      <x:c r="A82" s="3" t="str">
        <x:v>HTTP-078</x:v>
      </x:c>
      <x:c r="B82" s="3" t="str">
        <x:v>Skill 安装与目录</x:v>
      </x:c>
      <x:c r="C82" s="3" t="str">
        <x:v>GET</x:v>
      </x:c>
      <x:c r="D82" s="3" t="str">
        <x:v>/api/v1/skills/{skill_id}/deletion-impact</x:v>
      </x:c>
      <x:c r="E82" s="3" t="str">
        <x:v>GetSkillDeletionImpact</x:v>
      </x:c>
      <x:c r="F82" s="3" t="str">
        <x:v>当前登录User；私有资源校验owner</x:v>
      </x:c>
      <x:c r="G82" s="3" t="str">
        <x:v>SKL-013</x:v>
      </x:c>
      <x:c r="H82" s="3" t="str">
        <x:v>删除影响预览与确认</x:v>
      </x:c>
      <x:c r="I82" s="3" t="str">
        <x:v>核对列表/详情/字节与授权；缺失ID、跨owner、分页或过期按对应功能执行。</x:v>
      </x:c>
      <x:c r="J82" s="12" t="str">
        <x:v>未执行</x:v>
      </x:c>
      <x:c r="K82" s="3" t="str">
        <x:v>https://github.com/owl-go/agent-platform/blob/bb77a15d8b0cf6d760bb2e84fc3a432f7717052f/backend/api/workspace/v1/workspace.proto#L95</x:v>
      </x:c>
    </x:row>
    <x:row r="83" ht="42" customHeight="1">
      <x:c r="A83" s="3" t="str">
        <x:v>HTTP-079</x:v>
      </x:c>
      <x:c r="B83" s="3" t="str">
        <x:v>Skill 安装与目录</x:v>
      </x:c>
      <x:c r="C83" s="3" t="str">
        <x:v>DELETE</x:v>
      </x:c>
      <x:c r="D83" s="3" t="str">
        <x:v>/api/v1/skills/{skill_id}</x:v>
      </x:c>
      <x:c r="E83" s="3" t="str">
        <x:v>DeleteSkill</x:v>
      </x:c>
      <x:c r="F83" s="3" t="str">
        <x:v>当前登录User；私有资源校验owner</x:v>
      </x:c>
      <x:c r="G83" s="3" t="str">
        <x:v>SKL-013</x:v>
      </x:c>
      <x:c r="H83" s="3" t="str">
        <x:v>删除影响预览与确认</x:v>
      </x:c>
      <x:c r="I83" s="3" t="str">
        <x:v>合法输入成功持久化；非法输入不产生副作用；按合同验证版本冲突、重复请求和权限。</x:v>
      </x:c>
      <x:c r="J83" s="12" t="str">
        <x:v>未执行</x:v>
      </x:c>
      <x:c r="K83" s="3" t="str">
        <x:v>https://github.com/owl-go/agent-platform/blob/bb77a15d8b0cf6d760bb2e84fc3a432f7717052f/backend/api/workspace/v1/workspace.proto#L96</x:v>
      </x:c>
    </x:row>
    <x:row r="84" ht="42" customHeight="1">
      <x:c r="A84" s="3" t="str">
        <x:v>HTTP-080</x:v>
      </x:c>
      <x:c r="B84" s="3" t="str">
        <x:v>CLI Connector 与飞书授权</x:v>
      </x:c>
      <x:c r="C84" s="3" t="str">
        <x:v>GET</x:v>
      </x:c>
      <x:c r="D84" s="3" t="str">
        <x:v>/api/v1/connectors/cli</x:v>
      </x:c>
      <x:c r="E84" s="3" t="str">
        <x:v>ListCLIConnectorDefinitions</x:v>
      </x:c>
      <x:c r="F84" s="3" t="str">
        <x:v>已登录用户读取全局可用目录</x:v>
      </x:c>
      <x:c r="G84" s="3" t="str">
        <x:v>CLI-009</x:v>
      </x:c>
      <x:c r="H84" s="3" t="str">
        <x:v>普通用户浏览可用定义</x:v>
      </x:c>
      <x:c r="I84" s="3" t="str">
        <x:v>核对列表/详情/字节与授权；缺失ID、跨owner、分页或过期按对应功能执行。</x:v>
      </x:c>
      <x:c r="J84" s="12" t="str">
        <x:v>未执行</x:v>
      </x:c>
      <x:c r="K84" s="3" t="str">
        <x:v>https://github.com/owl-go/agent-platform/blob/bb77a15d8b0cf6d760bb2e84fc3a432f7717052f/backend/api/workspace/v1/workspace.proto#L97</x:v>
      </x:c>
    </x:row>
    <x:row r="85" ht="42" customHeight="1">
      <x:c r="A85" s="3" t="str">
        <x:v>HTTP-081</x:v>
      </x:c>
      <x:c r="B85" s="3" t="str">
        <x:v>CLI Connector 与飞书授权</x:v>
      </x:c>
      <x:c r="C85" s="3" t="str">
        <x:v>POST</x:v>
      </x:c>
      <x:c r="D85" s="3" t="str">
        <x:v>/api/v1/admin/connectors/cli</x:v>
      </x:c>
      <x:c r="E85" s="3" t="str">
        <x:v>CreateCLIConnectorDefinition</x:v>
      </x:c>
      <x:c r="F85" s="3" t="str">
        <x:v>Administrator；管理全局/账号元数据</x:v>
      </x:c>
      <x:c r="G85" s="3" t="str">
        <x:v>CLI-001</x:v>
      </x:c>
      <x:c r="H85" s="3" t="str">
        <x:v>仅管理员创建 CLI Definition</x:v>
      </x:c>
      <x:c r="I85" s="3" t="str">
        <x:v>合法输入成功持久化；非法输入不产生副作用；按合同验证版本冲突、重复请求和权限。</x:v>
      </x:c>
      <x:c r="J85" s="12" t="str">
        <x:v>未执行</x:v>
      </x:c>
      <x:c r="K85" s="3" t="str">
        <x:v>https://github.com/owl-go/agent-platform/blob/bb77a15d8b0cf6d760bb2e84fc3a432f7717052f/backend/api/workspace/v1/workspace.proto#L98</x:v>
      </x:c>
    </x:row>
    <x:row r="86" ht="42" customHeight="1">
      <x:c r="A86" s="3" t="str">
        <x:v>HTTP-082</x:v>
      </x:c>
      <x:c r="B86" s="3" t="str">
        <x:v>CLI Connector 与飞书授权</x:v>
      </x:c>
      <x:c r="C86" s="3" t="str">
        <x:v>PATCH</x:v>
      </x:c>
      <x:c r="D86" s="3" t="str">
        <x:v>/api/v1/admin/connectors/cli/{definition_id}</x:v>
      </x:c>
      <x:c r="E86" s="3" t="str">
        <x:v>UpdateCLIConnectorDefinition</x:v>
      </x:c>
      <x:c r="F86" s="3" t="str">
        <x:v>Administrator；管理全局/账号元数据</x:v>
      </x:c>
      <x:c r="G86" s="3" t="str">
        <x:v>CLI-002</x:v>
      </x:c>
      <x:c r="H86" s="3" t="str">
        <x:v>Definition 可修改字段</x:v>
      </x:c>
      <x:c r="I86" s="3" t="str">
        <x:v>合法输入成功持久化；非法输入不产生副作用；按合同验证版本冲突、重复请求和权限。</x:v>
      </x:c>
      <x:c r="J86" s="12" t="str">
        <x:v>未执行</x:v>
      </x:c>
      <x:c r="K86" s="3" t="str">
        <x:v>https://github.com/owl-go/agent-platform/blob/bb77a15d8b0cf6d760bb2e84fc3a432f7717052f/backend/api/workspace/v1/workspace.proto#L99</x:v>
      </x:c>
    </x:row>
    <x:row r="87" ht="42" customHeight="1">
      <x:c r="A87" s="3" t="str">
        <x:v>HTTP-083</x:v>
      </x:c>
      <x:c r="B87" s="3" t="str">
        <x:v>CLI Connector 与飞书授权</x:v>
      </x:c>
      <x:c r="C87" s="3" t="str">
        <x:v>POST</x:v>
      </x:c>
      <x:c r="D87" s="3" t="str">
        <x:v>/api/v1/admin/connectors/cli/{definition_id}/publish</x:v>
      </x:c>
      <x:c r="E87" s="3" t="str">
        <x:v>PublishCLIConnectorDefinition</x:v>
      </x:c>
      <x:c r="F87" s="3" t="str">
        <x:v>Administrator；管理全局/账号元数据</x:v>
      </x:c>
      <x:c r="G87" s="3" t="str">
        <x:v>CLI-006</x:v>
      </x:c>
      <x:c r="H87" s="3" t="str">
        <x:v>生命周期与可用性门禁</x:v>
      </x:c>
      <x:c r="I87" s="3" t="str">
        <x:v>合法输入成功持久化；非法输入不产生副作用；按合同验证版本冲突、重复请求和权限。</x:v>
      </x:c>
      <x:c r="J87" s="12" t="str">
        <x:v>未执行</x:v>
      </x:c>
      <x:c r="K87" s="3" t="str">
        <x:v>https://github.com/owl-go/agent-platform/blob/bb77a15d8b0cf6d760bb2e84fc3a432f7717052f/backend/api/workspace/v1/workspace.proto#L100</x:v>
      </x:c>
    </x:row>
    <x:row r="88" ht="42" customHeight="1">
      <x:c r="A88" s="3" t="str">
        <x:v>HTTP-084</x:v>
      </x:c>
      <x:c r="B88" s="3" t="str">
        <x:v>CLI Connector 与飞书授权</x:v>
      </x:c>
      <x:c r="C88" s="3" t="str">
        <x:v>POST</x:v>
      </x:c>
      <x:c r="D88" s="3" t="str">
        <x:v>/api/v1/admin/connectors/cli/{definition_id}/disable</x:v>
      </x:c>
      <x:c r="E88" s="3" t="str">
        <x:v>DisableCLIConnectorDefinition</x:v>
      </x:c>
      <x:c r="F88" s="3" t="str">
        <x:v>Administrator；管理全局/账号元数据</x:v>
      </x:c>
      <x:c r="G88" s="3" t="str">
        <x:v>CLI-018</x:v>
      </x:c>
      <x:c r="H88" s="3" t="str">
        <x:v>停用 Definition 阻止未来命令</x:v>
      </x:c>
      <x:c r="I88" s="3" t="str">
        <x:v>合法输入成功持久化；非法输入不产生副作用；按合同验证版本冲突、重复请求和权限。</x:v>
      </x:c>
      <x:c r="J88" s="12" t="str">
        <x:v>未执行</x:v>
      </x:c>
      <x:c r="K88" s="3" t="str">
        <x:v>https://github.com/owl-go/agent-platform/blob/bb77a15d8b0cf6d760bb2e84fc3a432f7717052f/backend/api/workspace/v1/workspace.proto#L101</x:v>
      </x:c>
    </x:row>
    <x:row r="89" ht="42" customHeight="1">
      <x:c r="A89" s="3" t="str">
        <x:v>HTTP-085</x:v>
      </x:c>
      <x:c r="B89" s="3" t="str">
        <x:v>CLI Connector 与飞书授权</x:v>
      </x:c>
      <x:c r="C89" s="3" t="str">
        <x:v>GET</x:v>
      </x:c>
      <x:c r="D89" s="3" t="str">
        <x:v>/api/v1/admin/connectors/cli-health</x:v>
      </x:c>
      <x:c r="E89" s="3" t="str">
        <x:v>ListCLIConnectorHealth</x:v>
      </x:c>
      <x:c r="F89" s="3" t="str">
        <x:v>Administrator；管理全局/账号元数据</x:v>
      </x:c>
      <x:c r="G89" s="3" t="str">
        <x:v>CLI-008</x:v>
      </x:c>
      <x:c r="H89" s="3" t="str">
        <x:v>管理员健康页权限</x:v>
      </x:c>
      <x:c r="I89" s="3" t="str">
        <x:v>核对列表/详情/字节与授权；缺失ID、跨owner、分页或过期按对应功能执行。</x:v>
      </x:c>
      <x:c r="J89" s="12" t="str">
        <x:v>未执行</x:v>
      </x:c>
      <x:c r="K89" s="3" t="str">
        <x:v>https://github.com/owl-go/agent-platform/blob/bb77a15d8b0cf6d760bb2e84fc3a432f7717052f/backend/api/workspace/v1/workspace.proto#L102</x:v>
      </x:c>
    </x:row>
    <x:row r="90" ht="42" customHeight="1">
      <x:c r="A90" s="3" t="str">
        <x:v>HTTP-086</x:v>
      </x:c>
      <x:c r="B90" s="3" t="str">
        <x:v>CLI Connector 与飞书授权</x:v>
      </x:c>
      <x:c r="C90" s="3" t="str">
        <x:v>POST</x:v>
      </x:c>
      <x:c r="D90" s="3" t="str">
        <x:v>/api/v1/connectors/cli/{definition_id}/enable</x:v>
      </x:c>
      <x:c r="E90" s="3" t="str">
        <x:v>EnableCLIConnector</x:v>
      </x:c>
      <x:c r="F90" s="3" t="str">
        <x:v>当前登录User；私有资源校验owner</x:v>
      </x:c>
      <x:c r="G90" s="3" t="str">
        <x:v>CLI-010</x:v>
      </x:c>
      <x:c r="H90" s="3" t="str">
        <x:v>飞书启用幂等创建单应用</x:v>
      </x:c>
      <x:c r="I90" s="3" t="str">
        <x:v>合法输入成功持久化；非法输入不产生副作用；按合同验证版本冲突、重复请求和权限。</x:v>
      </x:c>
      <x:c r="J90" s="12" t="str">
        <x:v>未执行</x:v>
      </x:c>
      <x:c r="K90" s="3" t="str">
        <x:v>https://github.com/owl-go/agent-platform/blob/bb77a15d8b0cf6d760bb2e84fc3a432f7717052f/backend/api/workspace/v1/workspace.proto#L103</x:v>
      </x:c>
    </x:row>
    <x:row r="91" ht="42" customHeight="1">
      <x:c r="A91" s="3" t="str">
        <x:v>HTTP-087</x:v>
      </x:c>
      <x:c r="B91" s="3" t="str">
        <x:v>CLI Connector 与飞书授权</x:v>
      </x:c>
      <x:c r="C91" s="3" t="str">
        <x:v>GET</x:v>
      </x:c>
      <x:c r="D91" s="3" t="str">
        <x:v>/api/v1/connectors/cli/enablements</x:v>
      </x:c>
      <x:c r="E91" s="3" t="str">
        <x:v>ListCLIConnectorEnablements</x:v>
      </x:c>
      <x:c r="F91" s="3" t="str">
        <x:v>当前登录User；私有资源校验owner</x:v>
      </x:c>
      <x:c r="G91" s="3" t="str">
        <x:v>CLI-013</x:v>
      </x:c>
      <x:c r="H91" s="3" t="str">
        <x:v>不同用户启用和授权隔离</x:v>
      </x:c>
      <x:c r="I91" s="3" t="str">
        <x:v>核对列表/详情/字节与授权；缺失ID、跨owner、分页或过期按对应功能执行。</x:v>
      </x:c>
      <x:c r="J91" s="12" t="str">
        <x:v>未执行</x:v>
      </x:c>
      <x:c r="K91" s="3" t="str">
        <x:v>https://github.com/owl-go/agent-platform/blob/bb77a15d8b0cf6d760bb2e84fc3a432f7717052f/backend/api/workspace/v1/workspace.proto#L104</x:v>
      </x:c>
    </x:row>
    <x:row r="92" ht="42" customHeight="1">
      <x:c r="A92" s="3" t="str">
        <x:v>HTTP-088</x:v>
      </x:c>
      <x:c r="B92" s="3" t="str">
        <x:v>命令审批与用户等待</x:v>
      </x:c>
      <x:c r="C92" s="3" t="str">
        <x:v>GET</x:v>
      </x:c>
      <x:c r="D92" s="3" t="str">
        <x:v>/api/v1/command-approvals</x:v>
      </x:c>
      <x:c r="E92" s="3" t="str">
        <x:v>ListCommandApprovals</x:v>
      </x:c>
      <x:c r="F92" s="3" t="str">
        <x:v>当前登录User；私有资源校验owner</x:v>
      </x:c>
      <x:c r="G92" s="3" t="str">
        <x:v>APR-001</x:v>
      </x:c>
      <x:c r="H92" s="3" t="str">
        <x:v>高风险命令先审批后执行</x:v>
      </x:c>
      <x:c r="I92" s="3" t="str">
        <x:v>核对列表/详情/字节与授权；缺失ID、跨owner、分页或过期按对应功能执行。</x:v>
      </x:c>
      <x:c r="J92" s="12" t="str">
        <x:v>未执行</x:v>
      </x:c>
      <x:c r="K92" s="3" t="str">
        <x:v>https://github.com/owl-go/agent-platform/blob/bb77a15d8b0cf6d760bb2e84fc3a432f7717052f/backend/api/workspace/v1/workspace.proto#L105</x:v>
      </x:c>
    </x:row>
    <x:row r="93" ht="42" customHeight="1">
      <x:c r="A93" s="3" t="str">
        <x:v>HTTP-089</x:v>
      </x:c>
      <x:c r="B93" s="3" t="str">
        <x:v>命令审批与用户等待</x:v>
      </x:c>
      <x:c r="C93" s="3" t="str">
        <x:v>POST</x:v>
      </x:c>
      <x:c r="D93" s="3" t="str">
        <x:v>/api/v1/command-approvals/{approval_id}/decision</x:v>
      </x:c>
      <x:c r="E93" s="3" t="str">
        <x:v>DecideCommandApproval</x:v>
      </x:c>
      <x:c r="F93" s="3" t="str">
        <x:v>当前登录User；私有资源校验owner</x:v>
      </x:c>
      <x:c r="G93" s="3" t="str">
        <x:v>APR-002</x:v>
      </x:c>
      <x:c r="H93" s="3" t="str">
        <x:v>批准执行一次</x:v>
      </x:c>
      <x:c r="I93" s="3" t="str">
        <x:v>合法输入成功持久化；非法输入不产生副作用；按合同验证版本冲突、重复请求和权限。</x:v>
      </x:c>
      <x:c r="J93" s="12" t="str">
        <x:v>未执行</x:v>
      </x:c>
      <x:c r="K93" s="3" t="str">
        <x:v>https://github.com/owl-go/agent-platform/blob/bb77a15d8b0cf6d760bb2e84fc3a432f7717052f/backend/api/workspace/v1/workspace.proto#L106</x:v>
      </x:c>
    </x:row>
    <x:row r="94" ht="42" customHeight="1">
      <x:c r="A94" s="3" t="str">
        <x:v>HTTP-090</x:v>
      </x:c>
      <x:c r="B94" s="3" t="str">
        <x:v>CLI Connector 与飞书授权</x:v>
      </x:c>
      <x:c r="C94" s="3" t="str">
        <x:v>POST</x:v>
      </x:c>
      <x:c r="D94" s="3" t="str">
        <x:v>/api/v1/connectors/cli/enablements/{enablement_id}/complete</x:v>
      </x:c>
      <x:c r="E94" s="3" t="str">
        <x:v>CompleteCLIConnectorEnablement</x:v>
      </x:c>
      <x:c r="F94" s="3" t="str">
        <x:v>当前登录User；私有资源校验owner</x:v>
      </x:c>
      <x:c r="G94" s="3" t="str">
        <x:v>CLI-011</x:v>
      </x:c>
      <x:c r="H94" s="3" t="str">
        <x:v>注册轮询与失败反馈</x:v>
      </x:c>
      <x:c r="I94" s="3" t="str">
        <x:v>合法输入成功持久化；非法输入不产生副作用；按合同验证版本冲突、重复请求和权限。</x:v>
      </x:c>
      <x:c r="J94" s="12" t="str">
        <x:v>未执行</x:v>
      </x:c>
      <x:c r="K94" s="3" t="str">
        <x:v>https://github.com/owl-go/agent-platform/blob/bb77a15d8b0cf6d760bb2e84fc3a432f7717052f/backend/api/workspace/v1/workspace.proto#L107</x:v>
      </x:c>
    </x:row>
    <x:row r="95" ht="42" customHeight="1">
      <x:c r="A95" s="3" t="str">
        <x:v>HTTP-091</x:v>
      </x:c>
      <x:c r="B95" s="3" t="str">
        <x:v>CLI Connector 与飞书授权</x:v>
      </x:c>
      <x:c r="C95" s="3" t="str">
        <x:v>POST</x:v>
      </x:c>
      <x:c r="D95" s="3" t="str">
        <x:v>/api/v1/connectors/cli/enablements/{enablement_id}/authorizations</x:v>
      </x:c>
      <x:c r="E95" s="3" t="str">
        <x:v>BeginCLIConnectorAuthorization</x:v>
      </x:c>
      <x:c r="F95" s="3" t="str">
        <x:v>当前登录User；私有资源校验owner</x:v>
      </x:c>
      <x:c r="G95" s="3" t="str">
        <x:v>CLI-014</x:v>
      </x:c>
      <x:c r="H95" s="3" t="str">
        <x:v>同应用多个账号授权</x:v>
      </x:c>
      <x:c r="I95" s="3" t="str">
        <x:v>合法输入成功持久化；非法输入不产生副作用；按合同验证版本冲突、重复请求和权限。</x:v>
      </x:c>
      <x:c r="J95" s="12" t="str">
        <x:v>未执行</x:v>
      </x:c>
      <x:c r="K95" s="3" t="str">
        <x:v>https://github.com/owl-go/agent-platform/blob/bb77a15d8b0cf6d760bb2e84fc3a432f7717052f/backend/api/workspace/v1/workspace.proto#L108</x:v>
      </x:c>
    </x:row>
    <x:row r="96" ht="42" customHeight="1">
      <x:c r="A96" s="3" t="str">
        <x:v>HTTP-092</x:v>
      </x:c>
      <x:c r="B96" s="3" t="str">
        <x:v>CLI Connector 与飞书授权</x:v>
      </x:c>
      <x:c r="C96" s="3" t="str">
        <x:v>POST</x:v>
      </x:c>
      <x:c r="D96" s="3" t="str">
        <x:v>/api/v1/connectors/cli/authorization-flows/{flow_id}/complete</x:v>
      </x:c>
      <x:c r="E96" s="3" t="str">
        <x:v>CompleteCLIConnectorAuthorization</x:v>
      </x:c>
      <x:c r="F96" s="3" t="str">
        <x:v>当前登录User；私有资源校验owner</x:v>
      </x:c>
      <x:c r="G96" s="3" t="str">
        <x:v>CLI-015</x:v>
      </x:c>
      <x:c r="H96" s="3" t="str">
        <x:v>设备授权等待与过期</x:v>
      </x:c>
      <x:c r="I96" s="3" t="str">
        <x:v>合法输入成功持久化；非法输入不产生副作用；按合同验证版本冲突、重复请求和权限。</x:v>
      </x:c>
      <x:c r="J96" s="12" t="str">
        <x:v>未执行</x:v>
      </x:c>
      <x:c r="K96" s="3" t="str">
        <x:v>https://github.com/owl-go/agent-platform/blob/bb77a15d8b0cf6d760bb2e84fc3a432f7717052f/backend/api/workspace/v1/workspace.proto#L109</x:v>
      </x:c>
    </x:row>
    <x:row r="97" ht="42" customHeight="1">
      <x:c r="A97" s="3" t="str">
        <x:v>HTTP-093</x:v>
      </x:c>
      <x:c r="B97" s="3" t="str">
        <x:v>CLI Connector 与飞书授权</x:v>
      </x:c>
      <x:c r="C97" s="3" t="str">
        <x:v>GET</x:v>
      </x:c>
      <x:c r="D97" s="3" t="str">
        <x:v>/api/v1/connectors/cli/enablements/{enablement_id}/authorizations</x:v>
      </x:c>
      <x:c r="E97" s="3" t="str">
        <x:v>ListCLIConnectorAuthorizations</x:v>
      </x:c>
      <x:c r="F97" s="3" t="str">
        <x:v>当前登录User；私有资源校验owner</x:v>
      </x:c>
      <x:c r="G97" s="3" t="str">
        <x:v>CLI-014</x:v>
      </x:c>
      <x:c r="H97" s="3" t="str">
        <x:v>同应用多个账号授权</x:v>
      </x:c>
      <x:c r="I97" s="3" t="str">
        <x:v>核对列表/详情/字节与授权；缺失ID、跨owner、分页或过期按对应功能执行。</x:v>
      </x:c>
      <x:c r="J97" s="12" t="str">
        <x:v>未执行</x:v>
      </x:c>
      <x:c r="K97" s="3" t="str">
        <x:v>https://github.com/owl-go/agent-platform/blob/bb77a15d8b0cf6d760bb2e84fc3a432f7717052f/backend/api/workspace/v1/workspace.proto#L110</x:v>
      </x:c>
    </x:row>
    <x:row r="98" ht="42" customHeight="1">
      <x:c r="A98" s="3" t="str">
        <x:v>HTTP-094</x:v>
      </x:c>
      <x:c r="B98" s="3" t="str">
        <x:v>CLI Connector 与飞书授权</x:v>
      </x:c>
      <x:c r="C98" s="3" t="str">
        <x:v>POST</x:v>
      </x:c>
      <x:c r="D98" s="3" t="str">
        <x:v>/api/v1/connectors/cli/authorizations/{authorization_id}/disconnect</x:v>
      </x:c>
      <x:c r="E98" s="3" t="str">
        <x:v>DisconnectCLIConnectorAuthorization</x:v>
      </x:c>
      <x:c r="F98" s="3" t="str">
        <x:v>当前登录User；私有资源校验owner</x:v>
      </x:c>
      <x:c r="G98" s="3" t="str">
        <x:v>CLI-017</x:v>
      </x:c>
      <x:c r="H98" s="3" t="str">
        <x:v>断开授权立即阻止</x:v>
      </x:c>
      <x:c r="I98" s="3" t="str">
        <x:v>合法输入成功持久化；非法输入不产生副作用；按合同验证版本冲突、重复请求和权限。</x:v>
      </x:c>
      <x:c r="J98" s="12" t="str">
        <x:v>未执行</x:v>
      </x:c>
      <x:c r="K98" s="3" t="str">
        <x:v>https://github.com/owl-go/agent-platform/blob/bb77a15d8b0cf6d760bb2e84fc3a432f7717052f/backend/api/workspace/v1/workspace.proto#L111</x:v>
      </x:c>
    </x:row>
    <x:row r="99" ht="42" customHeight="1">
      <x:c r="A99" s="3" t="str">
        <x:v>HTTP-095</x:v>
      </x:c>
      <x:c r="B99" s="3" t="str">
        <x:v>Session 会话</x:v>
      </x:c>
      <x:c r="C99" s="3" t="str">
        <x:v>GET</x:v>
      </x:c>
      <x:c r="D99" s="3" t="str">
        <x:v>/api/v1/sessions/{session_id}/messages/{message_id}/events</x:v>
      </x:c>
      <x:c r="E99" s="3" t="str">
        <x:v>StreamSessionMessage</x:v>
      </x:c>
      <x:c r="F99" s="3" t="str">
        <x:v>当前登录User；私有资源校验owner</x:v>
      </x:c>
      <x:c r="G99" s="3" t="str">
        <x:v>SES-003</x:v>
      </x:c>
      <x:c r="H99" s="3" t="str">
        <x:v>流式回复与正常完成</x:v>
      </x:c>
      <x:c r="I99" s="3" t="str">
        <x:v>核对列表/详情/字节与授权；缺失ID、跨owner、分页或过期按对应功能执行。</x:v>
      </x:c>
      <x:c r="J99" s="12" t="str">
        <x:v>未执行</x:v>
      </x:c>
      <x:c r="K99" s="3" t="str">
        <x:v>https://github.com/owl-go/agent-platform/blob/bb77a15d8b0cf6d760bb2e84fc3a432f7717052f/backend/internal/service/workspace/service.go</x:v>
      </x:c>
    </x:row>
    <x:row r="100" ht="42" customHeight="1">
      <x:c r="A100" s="3" t="str">
        <x:v>HTTP-096</x:v>
      </x:c>
      <x:c r="B100" s="3" t="str">
        <x:v>Artifact 与结果展示</x:v>
      </x:c>
      <x:c r="C100" s="3" t="str">
        <x:v>GET</x:v>
      </x:c>
      <x:c r="D100" s="3" t="str">
        <x:v>/api/v1/sessions/{session_id}/artifacts/{artifact_id}/download</x:v>
      </x:c>
      <x:c r="E100" s="3" t="str">
        <x:v>DownloadSessionArtifact</x:v>
      </x:c>
      <x:c r="F100" s="3" t="str">
        <x:v>当前登录User；私有资源校验owner</x:v>
      </x:c>
      <x:c r="G100" s="3" t="str">
        <x:v>ART-001</x:v>
      </x:c>
      <x:c r="H100" s="3" t="str">
        <x:v>Session 成功生成 Artifact</x:v>
      </x:c>
      <x:c r="I100" s="3" t="str">
        <x:v>核对列表/详情/字节与授权；缺失ID、跨owner、分页或过期按对应功能执行。</x:v>
      </x:c>
      <x:c r="J100" s="12" t="str">
        <x:v>未执行</x:v>
      </x:c>
      <x:c r="K100" s="3" t="str">
        <x:v>https://github.com/owl-go/agent-platform/blob/bb77a15d8b0cf6d760bb2e84fc3a432f7717052f/backend/internal/service/workspace/service.go</x:v>
      </x:c>
    </x:row>
    <x:row r="101" ht="42" customHeight="1">
      <x:c r="A101" s="3" t="str">
        <x:v>HTTP-097</x:v>
      </x:c>
      <x:c r="B101" s="3" t="str">
        <x:v>Workflow API 与幂等</x:v>
      </x:c>
      <x:c r="C101" s="3" t="str">
        <x:v>GET</x:v>
      </x:c>
      <x:c r="D101" s="3" t="str">
        <x:v>/api/v1/workflows/{workflow_id}/runs/{run_id}/events</x:v>
      </x:c>
      <x:c r="E101" s="3" t="str">
        <x:v>StreamRunEvents</x:v>
      </x:c>
      <x:c r="F101" s="3" t="str">
        <x:v>Owner登录态或限定本Workflow的Bearer Token</x:v>
      </x:c>
      <x:c r="G101" s="3" t="str">
        <x:v>API-017</x:v>
      </x:c>
      <x:c r="H101" s="3" t="str">
        <x:v>SSE 实时与重放</x:v>
      </x:c>
      <x:c r="I101" s="3" t="str">
        <x:v>核对列表/详情/字节与授权；缺失ID、跨owner、分页或过期按对应功能执行。</x:v>
      </x:c>
      <x:c r="J101" s="12" t="str">
        <x:v>未执行</x:v>
      </x:c>
      <x:c r="K101" s="3" t="str">
        <x:v>https://github.com/owl-go/agent-platform/blob/bb77a15d8b0cf6d760bb2e84fc3a432f7717052f/backend/internal/service/workspace/service.go</x:v>
      </x:c>
    </x:row>
    <x:row r="102" ht="42" customHeight="1">
      <x:c r="A102" s="3" t="str">
        <x:v>HTTP-098</x:v>
      </x:c>
      <x:c r="B102" s="3" t="str">
        <x:v>Artifact 与结果展示</x:v>
      </x:c>
      <x:c r="C102" s="3" t="str">
        <x:v>GET</x:v>
      </x:c>
      <x:c r="D102" s="3" t="str">
        <x:v>/api/v1/workflows/{workflow_id}/artifacts/{artifact_id}/download</x:v>
      </x:c>
      <x:c r="E102" s="3" t="str">
        <x:v>DownloadWorkflowArtifact</x:v>
      </x:c>
      <x:c r="F102" s="3" t="str">
        <x:v>当前登录User；私有资源校验owner</x:v>
      </x:c>
      <x:c r="G102" s="3" t="str">
        <x:v>ART-006</x:v>
      </x:c>
      <x:c r="H102" s="3" t="str">
        <x:v>点击卡片直接下载</x:v>
      </x:c>
      <x:c r="I102" s="3" t="str">
        <x:v>核对列表/详情/字节与授权；缺失ID、跨owner、分页或过期按对应功能执行。</x:v>
      </x:c>
      <x:c r="J102" s="12" t="str">
        <x:v>未执行</x:v>
      </x:c>
      <x:c r="K102" s="3" t="str">
        <x:v>https://github.com/owl-go/agent-platform/blob/bb77a15d8b0cf6d760bb2e84fc3a432f7717052f/backend/internal/service/workspace/service.go</x:v>
      </x:c>
    </x:row>
    <x:row r="103" ht="42" customHeight="1">
      <x:c r="A103" s="3" t="str">
        <x:v>HTTP-099</x:v>
      </x:c>
      <x:c r="B103" s="3" t="str">
        <x:v>Workspace 与 Git</x:v>
      </x:c>
      <x:c r="C103" s="3" t="str">
        <x:v>GET</x:v>
      </x:c>
      <x:c r="D103" s="3" t="str">
        <x:v>/api/v1/workflows/{workflow_id}/workspace/download</x:v>
      </x:c>
      <x:c r="E103" s="3" t="str">
        <x:v>DownloadWorkspaceFile</x:v>
      </x:c>
      <x:c r="F103" s="3" t="str">
        <x:v>当前登录User；私有资源校验owner</x:v>
      </x:c>
      <x:c r="G103" s="3" t="str">
        <x:v>WSP-003</x:v>
      </x:c>
      <x:c r="H103" s="3" t="str">
        <x:v>二进制下载</x:v>
      </x:c>
      <x:c r="I103" s="3" t="str">
        <x:v>核对列表/详情/字节与授权；缺失ID、跨owner、分页或过期按对应功能执行。</x:v>
      </x:c>
      <x:c r="J103" s="12" t="str">
        <x:v>未执行</x:v>
      </x:c>
      <x:c r="K103" s="3" t="str">
        <x:v>https://github.com/owl-go/agent-platform/blob/bb77a15d8b0cf6d760bb2e84fc3a432f7717052f/backend/internal/service/workspace/service.go</x:v>
      </x:c>
    </x:row>
    <x:row r="104" ht="42" customHeight="1">
      <x:c r="A104" s="3" t="str">
        <x:v>HTTP-100</x:v>
      </x:c>
      <x:c r="B104" s="3" t="str">
        <x:v>附件与文件引用</x:v>
      </x:c>
      <x:c r="C104" s="3" t="str">
        <x:v>POST</x:v>
      </x:c>
      <x:c r="D104" s="3" t="str">
        <x:v>/api/v1/attachments/upload</x:v>
      </x:c>
      <x:c r="E104" s="3" t="str">
        <x:v>UploadAttachment</x:v>
      </x:c>
      <x:c r="F104" s="3" t="str">
        <x:v>当前登录User；私有资源校验owner</x:v>
      </x:c>
      <x:c r="G104" s="3" t="str">
        <x:v>FIL-001</x:v>
      </x:c>
      <x:c r="H104" s="3" t="str">
        <x:v>文本附加普通文件</x:v>
      </x:c>
      <x:c r="I104" s="3" t="str">
        <x:v>合法输入成功持久化；非法输入不产生副作用；按合同验证版本冲突、重复请求和权限。</x:v>
      </x:c>
      <x:c r="J104" s="12" t="str">
        <x:v>未执行</x:v>
      </x:c>
      <x:c r="K104" s="3" t="str">
        <x:v>https://github.com/owl-go/agent-platform/blob/bb77a15d8b0cf6d760bb2e84fc3a432f7717052f/backend/internal/service/workspace/service.go</x:v>
      </x:c>
    </x:row>
    <x:row r="105" ht="42" customHeight="1">
      <x:c r="A105" s="3" t="str">
        <x:v>HTTP-101</x:v>
      </x:c>
      <x:c r="B105" s="3" t="str">
        <x:v>附件与文件引用</x:v>
      </x:c>
      <x:c r="C105" s="3" t="str">
        <x:v>GET</x:v>
      </x:c>
      <x:c r="D105" s="3" t="str">
        <x:v>/api/v1/attachments/{attachment_id}/download</x:v>
      </x:c>
      <x:c r="E105" s="3" t="str">
        <x:v>DownloadAttachment</x:v>
      </x:c>
      <x:c r="F105" s="3" t="str">
        <x:v>当前登录User；私有资源校验owner</x:v>
      </x:c>
      <x:c r="G105" s="3" t="str">
        <x:v>FIL-021</x:v>
      </x:c>
      <x:c r="H105" s="3" t="str">
        <x:v>认证代理下载</x:v>
      </x:c>
      <x:c r="I105" s="3" t="str">
        <x:v>核对列表/详情/字节与授权；缺失ID、跨owner、分页或过期按对应功能执行。</x:v>
      </x:c>
      <x:c r="J105" s="12" t="str">
        <x:v>未执行</x:v>
      </x:c>
      <x:c r="K105" s="3" t="str">
        <x:v>https://github.com/owl-go/agent-platform/blob/bb77a15d8b0cf6d760bb2e84fc3a432f7717052f/backend/internal/service/workspace/service.go</x:v>
      </x:c>
    </x:row>
    <x:row r="106" ht="42" customHeight="1">
      <x:c r="A106" s="3" t="str">
        <x:v>HTTP-102</x:v>
      </x:c>
      <x:c r="B106" s="3" t="str">
        <x:v>部署配置与运维验收</x:v>
      </x:c>
      <x:c r="C106" s="3" t="str">
        <x:v>GET</x:v>
      </x:c>
      <x:c r="D106" s="3" t="str">
        <x:v>/healthz</x:v>
      </x:c>
      <x:c r="E106" s="3" t="str">
        <x:v>Health</x:v>
      </x:c>
      <x:c r="F106" s="3" t="str">
        <x:v>健康检查；按部署入口策略</x:v>
      </x:c>
      <x:c r="G106" s="3" t="str">
        <x:v>OPS-001</x:v>
      </x:c>
      <x:c r="H106" s="3" t="str">
        <x:v>健康与就绪端点</x:v>
      </x:c>
      <x:c r="I106" s="3" t="str">
        <x:v>核对列表/详情/字节与授权；缺失ID、跨owner、分页或过期按对应功能执行。</x:v>
      </x:c>
      <x:c r="J106" s="12" t="str">
        <x:v>未执行</x:v>
      </x:c>
      <x:c r="K106" s="3" t="str">
        <x:v>https://github.com/owl-go/agent-platform/blob/bb77a15d8b0cf6d760bb2e84fc3a432f7717052f/backend/api/platform/v1/platform.proto</x:v>
      </x:c>
    </x:row>
    <x:row r="107" ht="42" customHeight="1">
      <x:c r="A107" s="3" t="str">
        <x:v>HTTP-103</x:v>
      </x:c>
      <x:c r="B107" s="3" t="str">
        <x:v>部署配置与运维验收</x:v>
      </x:c>
      <x:c r="C107" s="3" t="str">
        <x:v>GET</x:v>
      </x:c>
      <x:c r="D107" s="3" t="str">
        <x:v>/readyz</x:v>
      </x:c>
      <x:c r="E107" s="3" t="str">
        <x:v>Ready</x:v>
      </x:c>
      <x:c r="F107" s="3" t="str">
        <x:v>健康检查；按部署入口策略</x:v>
      </x:c>
      <x:c r="G107" s="3" t="str">
        <x:v>OPS-001</x:v>
      </x:c>
      <x:c r="H107" s="3" t="str">
        <x:v>健康与就绪端点</x:v>
      </x:c>
      <x:c r="I107" s="3" t="str">
        <x:v>核对列表/详情/字节与授权；缺失ID、跨owner、分页或过期按对应功能执行。</x:v>
      </x:c>
      <x:c r="J107" s="12" t="str">
        <x:v>未执行</x:v>
      </x:c>
      <x:c r="K107" s="3" t="str">
        <x:v>https://github.com/owl-go/agent-platform/blob/bb77a15d8b0cf6d760bb2e84fc3a432f7717052f/backend/api/platform/v1/platform.proto</x:v>
      </x:c>
    </x:row>
  </x:sheetData>
  <x:dataValidations count="1">
    <x:dataValidation type="list" sqref="J5:J107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6eb7e2e666400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46" hidden="0" customWidth="1"/>
    <x:col min="5" max="5" width="88" hidden="0" customWidth="1"/>
    <x:col min="6" max="6" width="88" hidden="0" customWidth="1"/>
    <x:col min="7" max="7" width="22" hidden="0" customWidth="1"/>
    <x:col min="8" max="8" width="115" hidden="0" customWidth="1"/>
  </x:cols>
  <x:sheetData>
    <x:row r="1" ht="30" customHeight="1">
      <x:c r="A1" s="5" t="str">
        <x:v>验收边界与追溯依据</x:v>
      </x:c>
      <x:c r="B1" s="3"/>
      <x:c r="C1" s="3"/>
      <x:c r="D1" s="3"/>
      <x:c r="E1" s="3"/>
      <x:c r="F1" s="3"/>
      <x:c r="G1" s="3"/>
      <x:c r="H1" s="3"/>
    </x:row>
    <x:row r="2" ht="24" customHeight="1">
      <x:c r="A2" s="7" t="str">
        <x:v>按当前实现与现行产品规则解释旧文档差异；未完成功能保留后续验收用例</x:v>
      </x:c>
      <x:c r="B2" s="3"/>
      <x:c r="C2" s="3"/>
      <x:c r="D2" s="3"/>
      <x:c r="E2" s="3"/>
      <x:c r="F2" s="3"/>
      <x:c r="G2" s="3"/>
      <x:c r="H2" s="3"/>
    </x:row>
    <x:row r="3">
      <x:c r="A3" s="8"/>
      <x:c r="B3" s="8"/>
      <x:c r="C3" s="8"/>
      <x:c r="D3" s="8"/>
      <x:c r="E3" s="8"/>
      <x:c r="F3" s="8"/>
      <x:c r="G3" s="8"/>
      <x:c r="H3" s="8"/>
    </x:row>
    <x:row r="4" ht="32" customHeight="1">
      <x:c r="A4" s="11" t="str">
        <x:v>编号</x:v>
      </x:c>
      <x:c r="B4" s="11" t="str">
        <x:v>类别</x:v>
      </x:c>
      <x:c r="C4" s="11" t="str">
        <x:v>主题</x:v>
      </x:c>
      <x:c r="D4" s="11" t="str">
        <x:v>关联用例</x:v>
      </x:c>
      <x:c r="E4" s="11" t="str">
        <x:v>现状或依据说明</x:v>
      </x:c>
      <x:c r="F4" s="11" t="str">
        <x:v>验收处理</x:v>
      </x:c>
      <x:c r="G4" s="11" t="str">
        <x:v>依据编号</x:v>
      </x:c>
      <x:c r="H4" s="11" t="str">
        <x:v>来源URL</x:v>
      </x:c>
    </x:row>
    <x:row r="5" ht="36" customHeight="1">
      <x:c r="A5" s="3" t="str">
        <x:v>B01</x:v>
      </x:c>
      <x:c r="B5" s="3" t="str">
        <x:v>验收边界</x:v>
      </x:c>
      <x:c r="C5" s="3" t="str">
        <x:v>本次执行状态</x:v>
      </x:c>
      <x:c r="D5" s="3" t="str">
        <x:v>全体用例</x:v>
      </x:c>
      <x:c r="E5" s="3" t="str">
        <x:v>测试设计已编写，应用测试与真实验收未执行。</x:v>
      </x:c>
      <x:c r="F5" s="3" t="str">
        <x:v>执行后填写实际结果与证据，未运行保持未执行。</x:v>
      </x:c>
      <x:c r="G5" s="3" t="str">
        <x:v>S01;S22</x:v>
      </x:c>
      <x:c r="H5" s="3" t="str"/>
    </x:row>
    <x:row r="6" ht="36" customHeight="1">
      <x:c r="A6" s="3" t="str">
        <x:v>B02</x:v>
      </x:c>
      <x:c r="B6" s="3" t="str">
        <x:v>验收边界</x:v>
      </x:c>
      <x:c r="C6" s="3" t="str">
        <x:v>Token自动刷新</x:v>
      </x:c>
      <x:c r="D6" s="3" t="str">
        <x:v>CLI-023</x:v>
      </x:c>
      <x:c r="E6" s="3" t="str">
        <x:v>技术规格明确仍未完成；已存refresh_token不代表刷新链路已实现。</x:v>
      </x:c>
      <x:c r="F6" s="3" t="str">
        <x:v>待实现后在E3验证刷新成功、失败失效和撤销路径。</x:v>
      </x:c>
      <x:c r="G6" s="3" t="str">
        <x:v>S20</x:v>
      </x:c>
      <x:c r="H6" s="3" t="str"/>
    </x:row>
    <x:row r="7" ht="36" customHeight="1">
      <x:c r="A7" s="3" t="str">
        <x:v>B03</x:v>
      </x:c>
      <x:c r="B7" s="3" t="str">
        <x:v>验收边界</x:v>
      </x:c>
      <x:c r="C7" s="3" t="str">
        <x:v>Bot权限恢复</x:v>
      </x:c>
      <x:c r="D7" s="3" t="str">
        <x:v>CLI-024</x:v>
      </x:c>
      <x:c r="E7" s="3" t="str">
        <x:v>技术规格明确Bot权限/发布前置恢复尚未完成。</x:v>
      </x:c>
      <x:c r="F7" s="3" t="str">
        <x:v>待实现后验证可行动恢复链接及再授权后重验。</x:v>
      </x:c>
      <x:c r="G7" s="3" t="str">
        <x:v>S20</x:v>
      </x:c>
      <x:c r="H7" s="3" t="str"/>
    </x:row>
    <x:row r="8" ht="36" customHeight="1">
      <x:c r="A8" s="3" t="str">
        <x:v>B04</x:v>
      </x:c>
      <x:c r="B8" s="3" t="str">
        <x:v>验收边界</x:v>
      </x:c>
      <x:c r="C8" s="3" t="str">
        <x:v>审批普通deadline暂停</x:v>
      </x:c>
      <x:c r="D8" s="3" t="str">
        <x:v>APR-014</x:v>
      </x:c>
      <x:c r="E8" s="3" t="str">
        <x:v>Sandbox当前状态明确普通执行deadline暂停尚未完成。</x:v>
      </x:c>
      <x:c r="F8" s="3" t="str">
        <x:v>等待超过普通预算但小于审批deadline，批准后仍正确恢复。</x:v>
      </x:c>
      <x:c r="G8" s="3" t="str">
        <x:v>S16</x:v>
      </x:c>
      <x:c r="H8" s="3" t="str"/>
    </x:row>
    <x:row r="9" ht="36" customHeight="1">
      <x:c r="A9" s="3" t="str">
        <x:v>B05</x:v>
      </x:c>
      <x:c r="B9" s="3" t="str">
        <x:v>验收边界</x:v>
      </x:c>
      <x:c r="C9" s="3" t="str">
        <x:v>审批Worker重启恢复</x:v>
      </x:c>
      <x:c r="D9" s="3" t="str">
        <x:v>APR-017</x:v>
      </x:c>
      <x:c r="E9" s="3" t="str">
        <x:v>存活Worker中的等待不等于重启Reconcile完整闭环。</x:v>
      </x:c>
      <x:c r="F9" s="3" t="str">
        <x:v>E2验证pending/approved/expired/revoked与去重。</x:v>
      </x:c>
      <x:c r="G9" s="3" t="str">
        <x:v>S16;S20</x:v>
      </x:c>
      <x:c r="H9" s="3" t="str"/>
    </x:row>
    <x:row r="10" ht="36" customHeight="1">
      <x:c r="A10" s="3" t="str">
        <x:v>B06</x:v>
      </x:c>
      <x:c r="B10" s="3" t="str">
        <x:v>验收边界</x:v>
      </x:c>
      <x:c r="C10" s="3" t="str">
        <x:v>PI Agent MCP</x:v>
      </x:c>
      <x:c r="D10" s="3" t="str">
        <x:v>MCP-010</x:v>
      </x:c>
      <x:c r="E10" s="3" t="str">
        <x:v>PI无内置MCP且当前缺明确已验证适配；预期fail closed。</x:v>
      </x:c>
      <x:c r="F10" s="3" t="str">
        <x:v>保持拒绝；新增PI Extension后需独立能力证据。</x:v>
      </x:c>
      <x:c r="G10" s="3" t="str">
        <x:v>S14</x:v>
      </x:c>
      <x:c r="H10" s="3" t="str"/>
    </x:row>
    <x:row r="11" ht="36" customHeight="1">
      <x:c r="A11" s="3" t="str">
        <x:v>B07</x:v>
      </x:c>
      <x:c r="B11" s="3" t="str">
        <x:v>验收边界</x:v>
      </x:c>
      <x:c r="C11" s="3" t="str">
        <x:v>真实Runtime兼容</x:v>
      </x:c>
      <x:c r="D11" s="3" t="str">
        <x:v>RUN-001;RUN-002</x:v>
      </x:c>
      <x:c r="E11" s="3" t="str">
        <x:v>五Driver/解析测试存在不等于所有模型协议与Digest已验收。</x:v>
      </x:c>
      <x:c r="F11" s="3" t="str">
        <x:v>E2逐Runtime、协议与RepoDigest记录真实调用证据。</x:v>
      </x:c>
      <x:c r="G11" s="3" t="str">
        <x:v>S20</x:v>
      </x:c>
      <x:c r="H11" s="3" t="str"/>
    </x:row>
    <x:row r="12" ht="36" customHeight="1">
      <x:c r="A12" s="3" t="str">
        <x:v>B08</x:v>
      </x:c>
      <x:c r="B12" s="3" t="str">
        <x:v>验收边界</x:v>
      </x:c>
      <x:c r="C12" s="3" t="str">
        <x:v>动态资源Native Resume</x:v>
      </x:c>
      <x:c r="D12" s="3" t="str">
        <x:v>RUN-010</x:v>
      </x:c>
      <x:c r="E12" s="3" t="str">
        <x:v>动态选择路径关闭Native Resume并按资源摘要隔离warm state。</x:v>
      </x:c>
      <x:c r="F12" s="3" t="str">
        <x:v>验收平台历史连续性及移除资源不可复用；不宣称动态Resume通过。</x:v>
      </x:c>
      <x:c r="G12" s="3" t="str">
        <x:v>S02;S14</x:v>
      </x:c>
      <x:c r="H12" s="3" t="str"/>
    </x:row>
    <x:row r="13" ht="36" customHeight="1">
      <x:c r="A13" s="3" t="str">
        <x:v>B09</x:v>
      </x:c>
      <x:c r="B13" s="3" t="str">
        <x:v>验收边界</x:v>
      </x:c>
      <x:c r="C13" s="3" t="str">
        <x:v>Linux隔离与CLI联合证据</x:v>
      </x:c>
      <x:c r="D13" s="3" t="str">
        <x:v>SEC-008;SEC-009;SEC-010</x:v>
      </x:c>
      <x:c r="E13" s="3" t="str">
        <x:v>macOS本地测试不能验证runsc与宿主网络策略。</x:v>
      </x:c>
      <x:c r="F13" s="3" t="str">
        <x:v>E2 preflight后记录Sandbox与bundle/Runtime联合Digest证据。</x:v>
      </x:c>
      <x:c r="G13" s="3" t="str">
        <x:v>S16;S20</x:v>
      </x:c>
      <x:c r="H13" s="3" t="str"/>
    </x:row>
    <x:row r="14" ht="36" customHeight="1">
      <x:c r="A14" s="3" t="str">
        <x:v>B10</x:v>
      </x:c>
      <x:c r="B14" s="3" t="str">
        <x:v>验收边界</x:v>
      </x:c>
      <x:c r="C14" s="3" t="str">
        <x:v>远端Object Storage</x:v>
      </x:c>
      <x:c r="D14" s="3" t="str">
        <x:v>OPS-007</x:v>
      </x:c>
      <x:c r="E14" s="3" t="str">
        <x:v>缺远端凭据导致集成Skip不能计作通过。</x:v>
      </x:c>
      <x:c r="F14" s="3" t="str">
        <x:v>在E4分别运行实际选用Provider的共享Conformance。</x:v>
      </x:c>
      <x:c r="G14" s="3" t="str">
        <x:v>S08</x:v>
      </x:c>
      <x:c r="H14" s="3" t="str"/>
    </x:row>
    <x:row r="15" ht="36" customHeight="1">
      <x:c r="A15" s="3" t="str">
        <x:v>B11</x:v>
      </x:c>
      <x:c r="B15" s="3" t="str">
        <x:v>验收边界</x:v>
      </x:c>
      <x:c r="C15" s="3" t="str">
        <x:v>既有部署记录</x:v>
      </x:c>
      <x:c r="D15" s="3" t="str">
        <x:v>OPS-010</x:v>
      </x:c>
      <x:c r="E15" s="3" t="str">
        <x:v>2026-09-06证据对应5832849，不是本次bb77a15全功能验收。</x:v>
      </x:c>
      <x:c r="F15" s="3" t="str">
        <x:v>只沿用其明确健康、迁移、资产与401结论；新行为重新验证。</x:v>
      </x:c>
      <x:c r="G15" s="3" t="str">
        <x:v>S22</x:v>
      </x:c>
      <x:c r="H15" s="3" t="str"/>
    </x:row>
    <x:row r="16" ht="36" customHeight="1">
      <x:c r="A16" s="3" t="str">
        <x:v>B12</x:v>
      </x:c>
      <x:c r="B16" s="3" t="str">
        <x:v>验收边界</x:v>
      </x:c>
      <x:c r="C16" s="3" t="str">
        <x:v>旧规格Workspace写入口</x:v>
      </x:c>
      <x:c r="D16" s="3" t="str">
        <x:v>WSP-001</x:v>
      </x:c>
      <x:c r="E16" s="3" t="str">
        <x:v>旧生产验收矩阵提到上传/建目录，现行产品Workspace只读。</x:v>
      </x:c>
      <x:c r="F16" s="3" t="str">
        <x:v>按现行只读产品验收；底层文件API能力不是产品可见写功能。</x:v>
      </x:c>
      <x:c r="G16" s="3" t="str">
        <x:v>S01;S25</x:v>
      </x:c>
      <x:c r="H16" s="3" t="str"/>
    </x:row>
    <x:row r="17" ht="36" customHeight="1">
      <x:c r="A17" s="3" t="str">
        <x:v>B13</x:v>
      </x:c>
      <x:c r="B17" s="3" t="str">
        <x:v>验收边界</x:v>
      </x:c>
      <x:c r="C17" s="3" t="str">
        <x:v>运行配置冻结</x:v>
      </x:c>
      <x:c r="D17" s="3" t="str">
        <x:v>SES-013;SES-014;SET-015</x:v>
      </x:c>
      <x:c r="E17" s="3" t="str">
        <x:v>现行Session/Run Conversation首次执行后冻结个人配置。</x:v>
      </x:c>
      <x:c r="F17" s="3" t="str">
        <x:v>不测试会话内切Runtime为正向功能；执行不兼容时明确失败。</x:v>
      </x:c>
      <x:c r="G17" s="3" t="str">
        <x:v>S01;S14;S25</x:v>
      </x:c>
      <x:c r="H17" s="3" t="str"/>
    </x:row>
    <x:row r="18" ht="36" customHeight="1">
      <x:c r="A18" s="3" t="str">
        <x:v>B14</x:v>
      </x:c>
      <x:c r="B18" s="3" t="str">
        <x:v>验收边界</x:v>
      </x:c>
      <x:c r="C18" s="3" t="str">
        <x:v>单位与旧数量描述</x:v>
      </x:c>
      <x:c r="D18" s="3" t="str">
        <x:v>WSP-005;RUN-001</x:v>
      </x:c>
      <x:c r="E18" s="3" t="str">
        <x:v>按实现字节常量采用MiB/GiB；当前五Runtime，部分仓库地图仍写四个。</x:v>
      </x:c>
      <x:c r="F18" s="3" t="str">
        <x:v>按本基线五Driver与明确字节边界执行。</x:v>
      </x:c>
      <x:c r="G18" s="3" t="str">
        <x:v>S10;S20;S26</x:v>
      </x:c>
      <x:c r="H18" s="3" t="str"/>
    </x:row>
    <x:row r="19" ht="42" customHeight="1">
      <x:c r="A19" s="3" t="str">
        <x:v>S01</x:v>
      </x:c>
      <x:c r="B19" s="3" t="str">
        <x:v>资料依据</x:v>
      </x:c>
      <x:c r="C19" s="3" t="str">
        <x:v>产品需求</x:v>
      </x:c>
      <x:c r="D19" s="3" t="str">
        <x:v>对应模块</x:v>
      </x:c>
      <x:c r="E19" s="3" t="str">
        <x:v>当前用户行为、积分、工作流、权限与范围</x:v>
      </x:c>
      <x:c r="F19" s="3" t="str">
        <x:v>代码/测试存在不等于本次验收通过</x:v>
      </x:c>
      <x:c r="G19" s="3" t="str">
        <x:v>S01</x:v>
      </x:c>
      <x:c r="H19" s="3" t="str">
        <x:v>https://github.com/owl-go/agent-platform/blob/bb77a15d8b0cf6d760bb2e84fc3a432f7717052f/docs/product/agent-workspace-requirements.md</x:v>
      </x:c>
    </x:row>
    <x:row r="20" ht="42" customHeight="1">
      <x:c r="A20" s="3" t="str">
        <x:v>S02</x:v>
      </x:c>
      <x:c r="B20" s="3" t="str">
        <x:v>资料依据</x:v>
      </x:c>
      <x:c r="C20" s="3" t="str">
        <x:v>会话资源选择</x:v>
      </x:c>
      <x:c r="D20" s="3" t="str">
        <x:v>对应模块</x:v>
      </x:c>
      <x:c r="E20" s="3" t="str">
        <x:v>资源修订优先级、草稿、File Reference及当前本地证据</x:v>
      </x:c>
      <x:c r="F20" s="3" t="str">
        <x:v>代码/测试存在不等于本次验收通过</x:v>
      </x:c>
      <x:c r="G20" s="3" t="str">
        <x:v>S02</x:v>
      </x:c>
      <x:c r="H20" s="3" t="str">
        <x:v>https://github.com/owl-go/agent-platform/blob/bb77a15d8b0cf6d760bb2e84fc3a432f7717052f/docs/product/conversation-resource-selection.md</x:v>
      </x:c>
    </x:row>
    <x:row r="21" ht="42" customHeight="1">
      <x:c r="A21" s="3" t="str">
        <x:v>S03</x:v>
      </x:c>
      <x:c r="B21" s="3" t="str">
        <x:v>资料依据</x:v>
      </x:c>
      <x:c r="C21" s="3" t="str">
        <x:v>专家与资源简化</x:v>
      </x:c>
      <x:c r="D21" s="3" t="str">
        <x:v>对应模块</x:v>
      </x:c>
      <x:c r="E21" s="3" t="str">
        <x:v>结构化指导、稳定成员身份、目录与迁移</x:v>
      </x:c>
      <x:c r="F21" s="3" t="str">
        <x:v>代码/测试存在不等于本次验收通过</x:v>
      </x:c>
      <x:c r="G21" s="3" t="str">
        <x:v>S03</x:v>
      </x:c>
      <x:c r="H21" s="3" t="str">
        <x:v>https://github.com/owl-go/agent-platform/blob/bb77a15d8b0cf6d760bb2e84fc3a432f7717052f/docs/product/expert-skill-connector-simplification.md</x:v>
      </x:c>
    </x:row>
    <x:row r="22" ht="42" customHeight="1">
      <x:c r="A22" s="3" t="str">
        <x:v>S04</x:v>
      </x:c>
      <x:c r="B22" s="3" t="str">
        <x:v>资料依据</x:v>
      </x:c>
      <x:c r="C22" s="3" t="str">
        <x:v>公开 HTTP 合同</x:v>
      </x:c>
      <x:c r="D22" s="3" t="str">
        <x:v>对应模块</x:v>
      </x:c>
      <x:c r="E22" s="3" t="str">
        <x:v>当前全部业务RPC与请求/响应字段</x:v>
      </x:c>
      <x:c r="F22" s="3" t="str">
        <x:v>代码/测试存在不等于本次验收通过</x:v>
      </x:c>
      <x:c r="G22" s="3" t="str">
        <x:v>S04</x:v>
      </x:c>
      <x:c r="H22" s="3" t="str">
        <x:v>https://github.com/owl-go/agent-platform/blob/bb77a15d8b0cf6d760bb2e84fc3a432f7717052f/backend/api/workspace/v1/workspace.proto</x:v>
      </x:c>
    </x:row>
    <x:row r="23" ht="42" customHeight="1">
      <x:c r="A23" s="3" t="str">
        <x:v>S05</x:v>
      </x:c>
      <x:c r="B23" s="3" t="str">
        <x:v>资料依据</x:v>
      </x:c>
      <x:c r="C23" s="3" t="str">
        <x:v>身份认证测试</x:v>
      </x:c>
      <x:c r="D23" s="3" t="str">
        <x:v>对应模块</x:v>
      </x:c>
      <x:c r="E23" s="3" t="str">
        <x:v>OIDC PKCE、续期与回调边界；仅证明测试代码存在</x:v>
      </x:c>
      <x:c r="F23" s="3" t="str">
        <x:v>代码/测试存在不等于本次验收通过</x:v>
      </x:c>
      <x:c r="G23" s="3" t="str">
        <x:v>S05</x:v>
      </x:c>
      <x:c r="H23" s="3" t="str">
        <x:v>https://github.com/owl-go/agent-platform/blob/bb77a15d8b0cf6d760bb2e84fc3a432f7717052f/frontend/src/auth/oidc.test.ts</x:v>
      </x:c>
    </x:row>
    <x:row r="24" ht="42" customHeight="1">
      <x:c r="A24" s="3" t="str">
        <x:v>S06</x:v>
      </x:c>
      <x:c r="B24" s="3" t="str">
        <x:v>资料依据</x:v>
      </x:c>
      <x:c r="C24" s="3" t="str">
        <x:v>Session 页面回归测试</x:v>
      </x:c>
      <x:c r="D24" s="3" t="str">
        <x:v>对应模块</x:v>
      </x:c>
      <x:c r="E24" s="3" t="str">
        <x:v>流式、取消、历史、附件、交互；本次未运行</x:v>
      </x:c>
      <x:c r="F24" s="3" t="str">
        <x:v>代码/测试存在不等于本次验收通过</x:v>
      </x:c>
      <x:c r="G24" s="3" t="str">
        <x:v>S06</x:v>
      </x:c>
      <x:c r="H24" s="3" t="str">
        <x:v>https://github.com/owl-go/agent-platform/blob/bb77a15d8b0cf6d760bb2e84fc3a432f7717052f/frontend/src/pages/SessionsPage.test.ts</x:v>
      </x:c>
    </x:row>
    <x:row r="25" ht="42" customHeight="1">
      <x:c r="A25" s="3" t="str">
        <x:v>S07</x:v>
      </x:c>
      <x:c r="B25" s="3" t="str">
        <x:v>资料依据</x:v>
      </x:c>
      <x:c r="C25" s="3" t="str">
        <x:v>会话选择集成测试</x:v>
      </x:c>
      <x:c r="D25" s="3" t="str">
        <x:v>对应模块</x:v>
      </x:c>
      <x:c r="E25" s="3" t="str">
        <x:v>修订保留、越权、追问隔离；需PostgreSQL</x:v>
      </x:c>
      <x:c r="F25" s="3" t="str">
        <x:v>代码/测试存在不等于本次验收通过</x:v>
      </x:c>
      <x:c r="G25" s="3" t="str">
        <x:v>S07</x:v>
      </x:c>
      <x:c r="H25" s="3" t="str">
        <x:v>https://github.com/owl-go/agent-platform/blob/bb77a15d8b0cf6d760bb2e84fc3a432f7717052f/backend/internal/data/workspace/gormrepo/conversation_integration_test.go</x:v>
      </x:c>
    </x:row>
    <x:row r="26" ht="42" customHeight="1">
      <x:c r="A26" s="3" t="str">
        <x:v>S08</x:v>
      </x:c>
      <x:c r="B26" s="3" t="str">
        <x:v>资料依据</x:v>
      </x:c>
      <x:c r="C26" s="3" t="str">
        <x:v>对象存储合同</x:v>
      </x:c>
      <x:c r="D26" s="3" t="str">
        <x:v>对应模块</x:v>
      </x:c>
      <x:c r="E26" s="3" t="str">
        <x:v>逻辑Key、100MiB附件、不可变对象及认证下载</x:v>
      </x:c>
      <x:c r="F26" s="3" t="str">
        <x:v>代码/测试存在不等于本次验收通过</x:v>
      </x:c>
      <x:c r="G26" s="3" t="str">
        <x:v>S08</x:v>
      </x:c>
      <x:c r="H26" s="3" t="str">
        <x:v>https://github.com/owl-go/agent-platform/blob/bb77a15d8b0cf6d760bb2e84fc3a432f7717052f/docs/technical/object-storage.md</x:v>
      </x:c>
    </x:row>
    <x:row r="27" ht="42" customHeight="1">
      <x:c r="A27" s="3" t="str">
        <x:v>S09</x:v>
      </x:c>
      <x:c r="B27" s="3" t="str">
        <x:v>资料依据</x:v>
      </x:c>
      <x:c r="C27" s="3" t="str">
        <x:v>Workflow 实现</x:v>
      </x:c>
      <x:c r="D27" s="3" t="str">
        <x:v>对应模块</x:v>
      </x:c>
      <x:c r="E27" s="3" t="str">
        <x:v>串行Run、幂等、100000字节文本、1MiB JSON及历史投影</x:v>
      </x:c>
      <x:c r="F27" s="3" t="str">
        <x:v>代码/测试存在不等于本次验收通过</x:v>
      </x:c>
      <x:c r="G27" s="3" t="str">
        <x:v>S09</x:v>
      </x:c>
      <x:c r="H27" s="3" t="str">
        <x:v>https://github.com/owl-go/agent-platform/blob/bb77a15d8b0cf6d760bb2e84fc3a432f7717052f/backend/internal/data/workspace/gormrepo/workflows.go</x:v>
      </x:c>
    </x:row>
    <x:row r="28" ht="42" customHeight="1">
      <x:c r="A28" s="3" t="str">
        <x:v>S10</x:v>
      </x:c>
      <x:c r="B28" s="3" t="str">
        <x:v>资料依据</x:v>
      </x:c>
      <x:c r="C28" s="3" t="str">
        <x:v>Workspace与Git回归</x:v>
      </x:c>
      <x:c r="D28" s="3" t="str">
        <x:v>对应模块</x:v>
      </x:c>
      <x:c r="E28" s="3" t="str">
        <x:v>路径、SSH临时HOME、读写安全；Git反馈以本基线新增测试为准</x:v>
      </x:c>
      <x:c r="F28" s="3" t="str">
        <x:v>代码/测试存在不等于本次验收通过</x:v>
      </x:c>
      <x:c r="G28" s="3" t="str">
        <x:v>S10</x:v>
      </x:c>
      <x:c r="H28" s="3" t="str">
        <x:v>https://github.com/owl-go/agent-platform/blob/bb77a15d8b0cf6d760bb2e84fc3a432f7717052f/backend/internal/workspacefs/store_test.go</x:v>
      </x:c>
    </x:row>
    <x:row r="29" ht="42" customHeight="1">
      <x:c r="A29" s="3" t="str">
        <x:v>S11</x:v>
      </x:c>
      <x:c r="B29" s="3" t="str">
        <x:v>资料依据</x:v>
      </x:c>
      <x:c r="C29" s="3" t="str">
        <x:v>Expert领域测试</x:v>
      </x:c>
      <x:c r="D29" s="3" t="str">
        <x:v>对应模块</x:v>
      </x:c>
      <x:c r="E29" s="3" t="str">
        <x:v>结构化资料、成员边界；保留旧兼容测试不代表旧UI仍可用</x:v>
      </x:c>
      <x:c r="F29" s="3" t="str">
        <x:v>代码/测试存在不等于本次验收通过</x:v>
      </x:c>
      <x:c r="G29" s="3" t="str">
        <x:v>S11</x:v>
      </x:c>
      <x:c r="H29" s="3" t="str">
        <x:v>https://github.com/owl-go/agent-platform/blob/bb77a15d8b0cf6d760bb2e84fc3a432f7717052f/backend/internal/biz/workspace/domain/model_test.go</x:v>
      </x:c>
    </x:row>
    <x:row r="30" ht="42" customHeight="1">
      <x:c r="A30" s="3" t="str">
        <x:v>S12</x:v>
      </x:c>
      <x:c r="B30" s="3" t="str">
        <x:v>资料依据</x:v>
      </x:c>
      <x:c r="C30" s="3" t="str">
        <x:v>Runtime Executor回归</x:v>
      </x:c>
      <x:c r="D30" s="3" t="str">
        <x:v>对应模块</x:v>
      </x:c>
      <x:c r="E30" s="3" t="str">
        <x:v>团队串行、工作区回滚、指令、文件与状态隔离</x:v>
      </x:c>
      <x:c r="F30" s="3" t="str">
        <x:v>代码/测试存在不等于本次验收通过</x:v>
      </x:c>
      <x:c r="G30" s="3" t="str">
        <x:v>S12</x:v>
      </x:c>
      <x:c r="H30" s="3" t="str">
        <x:v>https://github.com/owl-go/agent-platform/blob/bb77a15d8b0cf6d760bb2e84fc3a432f7717052f/backend/internal/data/workspace/runtimeexecutor/executor_test.go</x:v>
      </x:c>
    </x:row>
    <x:row r="31" ht="42" customHeight="1">
      <x:c r="A31" s="3" t="str">
        <x:v>S13</x:v>
      </x:c>
      <x:c r="B31" s="3" t="str">
        <x:v>资料依据</x:v>
      </x:c>
      <x:c r="C31" s="3" t="str">
        <x:v>Skill规范化测试</x:v>
      </x:c>
      <x:c r="D31" s="3" t="str">
        <x:v>对应模块</x:v>
      </x:c>
      <x:c r="E31" s="3" t="str">
        <x:v>根目录、顶层目录、元数据、ZIP完整性与安全</x:v>
      </x:c>
      <x:c r="F31" s="3" t="str">
        <x:v>代码/测试存在不等于本次验收通过</x:v>
      </x:c>
      <x:c r="G31" s="3" t="str">
        <x:v>S13</x:v>
      </x:c>
      <x:c r="H31" s="3" t="str">
        <x:v>https://github.com/owl-go/agent-platform/blob/bb77a15d8b0cf6d760bb2e84fc3a432f7717052f/backend/internal/skillstore/archive_test.go</x:v>
      </x:c>
    </x:row>
    <x:row r="32" ht="42" customHeight="1">
      <x:c r="A32" s="3" t="str">
        <x:v>S14</x:v>
      </x:c>
      <x:c r="B32" s="3" t="str">
        <x:v>资料依据</x:v>
      </x:c>
      <x:c r="C32" s="3" t="str">
        <x:v>Runtime契约</x:v>
      </x:c>
      <x:c r="D32" s="3" t="str">
        <x:v>对应模块</x:v>
      </x:c>
      <x:c r="E32" s="3" t="str">
        <x:v>事件、协议、Resume边界、附件及PI MCP拒绝</x:v>
      </x:c>
      <x:c r="F32" s="3" t="str">
        <x:v>代码/测试存在不等于本次验收通过</x:v>
      </x:c>
      <x:c r="G32" s="3" t="str">
        <x:v>S14</x:v>
      </x:c>
      <x:c r="H32" s="3" t="str">
        <x:v>https://github.com/owl-go/agent-platform/blob/bb77a15d8b0cf6d760bb2e84fc3a432f7717052f/docs/technical/runtime-adapter.md</x:v>
      </x:c>
    </x:row>
    <x:row r="33" ht="42" customHeight="1">
      <x:c r="A33" s="3" t="str">
        <x:v>S15</x:v>
      </x:c>
      <x:c r="B33" s="3" t="str">
        <x:v>资料依据</x:v>
      </x:c>
      <x:c r="C33" s="3" t="str">
        <x:v>CLI与授权服务</x:v>
      </x:c>
      <x:c r="D33" s="3" t="str">
        <x:v>对应模块</x:v>
      </x:c>
      <x:c r="E33" s="3" t="str">
        <x:v>管理员定义、用户授权、审批HTTP权限</x:v>
      </x:c>
      <x:c r="F33" s="3" t="str">
        <x:v>代码/测试存在不等于本次验收通过</x:v>
      </x:c>
      <x:c r="G33" s="3" t="str">
        <x:v>S15</x:v>
      </x:c>
      <x:c r="H33" s="3" t="str">
        <x:v>https://github.com/owl-go/agent-platform/blob/bb77a15d8b0cf6d760bb2e84fc3a432f7717052f/backend/internal/service/workspace/cli_connectors.go</x:v>
      </x:c>
    </x:row>
    <x:row r="34" ht="42" customHeight="1">
      <x:c r="A34" s="3" t="str">
        <x:v>S16</x:v>
      </x:c>
      <x:c r="B34" s="3" t="str">
        <x:v>资料依据</x:v>
      </x:c>
      <x:c r="C34" s="3" t="str">
        <x:v>Sandbox合同</x:v>
      </x:c>
      <x:c r="D34" s="3" t="str">
        <x:v>对应模块</x:v>
      </x:c>
      <x:c r="E34" s="3" t="str">
        <x:v>runsc、Egress、暖容器、用户等待及已知未完成项</x:v>
      </x:c>
      <x:c r="F34" s="3" t="str">
        <x:v>代码/测试存在不等于本次验收通过</x:v>
      </x:c>
      <x:c r="G34" s="3" t="str">
        <x:v>S16</x:v>
      </x:c>
      <x:c r="H34" s="3" t="str">
        <x:v>https://github.com/owl-go/agent-platform/blob/bb77a15d8b0cf6d760bb2e84fc3a432f7717052f/docs/technical/sandbox-runner.md</x:v>
      </x:c>
    </x:row>
    <x:row r="35" ht="42" customHeight="1">
      <x:c r="A35" s="3" t="str">
        <x:v>S17</x:v>
      </x:c>
      <x:c r="B35" s="3" t="str">
        <x:v>资料依据</x:v>
      </x:c>
      <x:c r="C35" s="3" t="str">
        <x:v>模型目录服务回归</x:v>
      </x:c>
      <x:c r="D35" s="3" t="str">
        <x:v>对应模块</x:v>
      </x:c>
      <x:c r="E35" s="3" t="str">
        <x:v>管理员修改权限与发现回退状态</x:v>
      </x:c>
      <x:c r="F35" s="3" t="str">
        <x:v>代码/测试存在不等于本次验收通过</x:v>
      </x:c>
      <x:c r="G35" s="3" t="str">
        <x:v>S17</x:v>
      </x:c>
      <x:c r="H35" s="3" t="str">
        <x:v>https://github.com/owl-go/agent-platform/blob/bb77a15d8b0cf6d760bb2e84fc3a432f7717052f/backend/internal/service/workspace/model_provider_test.go</x:v>
      </x:c>
    </x:row>
    <x:row r="36" ht="42" customHeight="1">
      <x:c r="A36" s="3" t="str">
        <x:v>S18</x:v>
      </x:c>
      <x:c r="B36" s="3" t="str">
        <x:v>资料依据</x:v>
      </x:c>
      <x:c r="C36" s="3" t="str">
        <x:v>全局目录已记录部署证据</x:v>
      </x:c>
      <x:c r="D36" s="3" t="str">
        <x:v>对应模块</x:v>
      </x:c>
      <x:c r="E36" s="3" t="str">
        <x:v>2026-09-04账号目录可见性与403；不等于本基线全功能通过</x:v>
      </x:c>
      <x:c r="F36" s="3" t="str">
        <x:v>代码/测试存在不等于本次验收通过</x:v>
      </x:c>
      <x:c r="G36" s="3" t="str">
        <x:v>S18</x:v>
      </x:c>
      <x:c r="H36" s="3" t="str">
        <x:v>https://github.com/owl-go/agent-platform/blob/bb77a15d8b0cf6d760bb2e84fc3a432f7717052f/docs/evidence/agent-workspace/2026-09-04-global-model-catalog-deployment.md</x:v>
      </x:c>
    </x:row>
    <x:row r="37" ht="42" customHeight="1">
      <x:c r="A37" s="3" t="str">
        <x:v>S19</x:v>
      </x:c>
      <x:c r="B37" s="3" t="str">
        <x:v>资料依据</x:v>
      </x:c>
      <x:c r="C37" s="3" t="str">
        <x:v>积分事务集成测试</x:v>
      </x:c>
      <x:c r="D37" s="3" t="str">
        <x:v>对应模块</x:v>
      </x:c>
      <x:c r="E37" s="3" t="str">
        <x:v>原子、幂等、日额度和账本生命周期；需PostgreSQL</x:v>
      </x:c>
      <x:c r="F37" s="3" t="str">
        <x:v>代码/测试存在不等于本次验收通过</x:v>
      </x:c>
      <x:c r="G37" s="3" t="str">
        <x:v>S19</x:v>
      </x:c>
      <x:c r="H37" s="3" t="str">
        <x:v>https://github.com/owl-go/agent-platform/blob/bb77a15d8b0cf6d760bb2e84fc3a432f7717052f/backend/internal/data/credits/gormrepo/repository_integration_test.go</x:v>
      </x:c>
    </x:row>
    <x:row r="38" ht="42" customHeight="1">
      <x:c r="A38" s="3" t="str">
        <x:v>S20</x:v>
      </x:c>
      <x:c r="B38" s="3" t="str">
        <x:v>资料依据</x:v>
      </x:c>
      <x:c r="C38" s="3" t="str">
        <x:v>Runtime固定版本及能力边界</x:v>
      </x:c>
      <x:c r="D38" s="3" t="str">
        <x:v>对应模块</x:v>
      </x:c>
      <x:c r="E38" s="3" t="str">
        <x:v>五种Runtime版本；Token刷新、Bot恢复和重启恢复缺口</x:v>
      </x:c>
      <x:c r="F38" s="3" t="str">
        <x:v>代码/测试存在不等于本次验收通过</x:v>
      </x:c>
      <x:c r="G38" s="3" t="str">
        <x:v>S20</x:v>
      </x:c>
      <x:c r="H38" s="3" t="str">
        <x:v>https://github.com/owl-go/agent-platform/blob/bb77a15d8b0cf6d760bb2e84fc3a432f7717052f/docs/technical/runtime-images.md</x:v>
      </x:c>
    </x:row>
    <x:row r="39" ht="36" customHeight="1">
      <x:c r="A39" s="3" t="str">
        <x:v>S21</x:v>
      </x:c>
      <x:c r="B39" s="3" t="str">
        <x:v>资料依据</x:v>
      </x:c>
      <x:c r="C39" s="3" t="str">
        <x:v>前端路由与导航</x:v>
      </x:c>
      <x:c r="D39" s="3" t="str">
        <x:v>对应模块</x:v>
      </x:c>
      <x:c r="E39" s="3" t="str">
        <x:v>当前产品路由和页面范围</x:v>
      </x:c>
      <x:c r="F39" s="3" t="str">
        <x:v>代码/测试存在不等于本次验收通过</x:v>
      </x:c>
      <x:c r="G39" s="3" t="str">
        <x:v>S21</x:v>
      </x:c>
      <x:c r="H39" s="3" t="str">
        <x:v>https://github.com/owl-go/agent-platform/blob/bb77a15d8b0cf6d760bb2e84fc3a432f7717052f/frontend/src/router.ts</x:v>
      </x:c>
    </x:row>
    <x:row r="40" ht="42" customHeight="1">
      <x:c r="A40" s="3" t="str">
        <x:v>S22</x:v>
      </x:c>
      <x:c r="B40" s="3" t="str">
        <x:v>资料依据</x:v>
      </x:c>
      <x:c r="C40" s="3" t="str">
        <x:v>资源选择部署证据</x:v>
      </x:c>
      <x:c r="D40" s="3" t="str">
        <x:v>对应模块</x:v>
      </x:c>
      <x:c r="E40" s="3" t="str">
        <x:v>2026-09-06 source=5832849；备份、schema、健康、未登录401</x:v>
      </x:c>
      <x:c r="F40" s="3" t="str">
        <x:v>代码/测试存在不等于本次验收通过</x:v>
      </x:c>
      <x:c r="G40" s="3" t="str">
        <x:v>S22</x:v>
      </x:c>
      <x:c r="H40" s="3" t="str">
        <x:v>https://github.com/owl-go/agent-platform/blob/bb77a15d8b0cf6d760bb2e84fc3a432f7717052f/docs/evidence/agent-workspace/2026-09-06-conversation-resource-selection-deployment.md</x:v>
      </x:c>
    </x:row>
    <x:row r="41" ht="42" customHeight="1">
      <x:c r="A41" s="3" t="str">
        <x:v>S23</x:v>
      </x:c>
      <x:c r="B41" s="3" t="str">
        <x:v>资料依据</x:v>
      </x:c>
      <x:c r="C41" s="3" t="str">
        <x:v>Git克隆错误分类回归</x:v>
      </x:c>
      <x:c r="D41" s="3" t="str">
        <x:v>对应模块</x:v>
      </x:c>
      <x:c r="E41" s="3" t="str">
        <x:v>bb77a15新增；安全类别及非空Workspace不删除</x:v>
      </x:c>
      <x:c r="F41" s="3" t="str">
        <x:v>代码/测试存在不等于本次验收通过</x:v>
      </x:c>
      <x:c r="G41" s="3" t="str">
        <x:v>S23</x:v>
      </x:c>
      <x:c r="H41" s="3" t="str">
        <x:v>https://github.com/owl-go/agent-platform/blob/bb77a15d8b0cf6d760bb2e84fc3a432f7717052f/backend/internal/service/workspace/git_source_test.go</x:v>
      </x:c>
    </x:row>
    <x:row r="42" ht="42" customHeight="1">
      <x:c r="A42" s="3" t="str">
        <x:v>S24</x:v>
      </x:c>
      <x:c r="B42" s="3" t="str">
        <x:v>资料依据</x:v>
      </x:c>
      <x:c r="C42" s="3" t="str">
        <x:v>积分计算回归</x:v>
      </x:c>
      <x:c r="D42" s="3" t="str">
        <x:v>对应模块</x:v>
      </x:c>
      <x:c r="E42" s="3" t="str">
        <x:v>1万Token、最小0.01、四舍五入和独立倍率</x:v>
      </x:c>
      <x:c r="F42" s="3" t="str">
        <x:v>代码/测试存在不等于本次验收通过</x:v>
      </x:c>
      <x:c r="G42" s="3" t="str">
        <x:v>S24</x:v>
      </x:c>
      <x:c r="H42" s="3" t="str">
        <x:v>https://github.com/owl-go/agent-platform/blob/bb77a15d8b0cf6d760bb2e84fc3a432f7717052f/backend/internal/biz/credits/domain/model_test.go</x:v>
      </x:c>
    </x:row>
    <x:row r="43" ht="42" customHeight="1">
      <x:c r="A43" s="3" t="str">
        <x:v>S25</x:v>
      </x:c>
      <x:c r="B43" s="3" t="str">
        <x:v>资料依据</x:v>
      </x:c>
      <x:c r="C43" s="3" t="str">
        <x:v>生产验收合同</x:v>
      </x:c>
      <x:c r="D43" s="3" t="str">
        <x:v>对应模块</x:v>
      </x:c>
      <x:c r="E43" s="3" t="str">
        <x:v>历史矩阵部分表述滞后；当前产品Workspace只读及设置冻结优先</x:v>
      </x:c>
      <x:c r="F43" s="3" t="str">
        <x:v>代码/测试存在不等于本次验收通过</x:v>
      </x:c>
      <x:c r="G43" s="3" t="str">
        <x:v>S25</x:v>
      </x:c>
      <x:c r="H43" s="3" t="str">
        <x:v>https://github.com/owl-go/agent-platform/blob/bb77a15d8b0cf6d760bb2e84fc3a432f7717052f/docs/technical/production-conformance.md</x:v>
      </x:c>
    </x:row>
    <x:row r="44" ht="36" customHeight="1">
      <x:c r="A44" s="3" t="str">
        <x:v>S26</x:v>
      </x:c>
      <x:c r="B44" s="3" t="str">
        <x:v>资料依据</x:v>
      </x:c>
      <x:c r="C44" s="3" t="str">
        <x:v>领域术语</x:v>
      </x:c>
      <x:c r="D44" s="3" t="str">
        <x:v>对应模块</x:v>
      </x:c>
      <x:c r="E44" s="3" t="str">
        <x:v>Session、Run Conversation、Expert、Credit等定义</x:v>
      </x:c>
      <x:c r="F44" s="3" t="str">
        <x:v>代码/测试存在不等于本次验收通过</x:v>
      </x:c>
      <x:c r="G44" s="3" t="str">
        <x:v>S26</x:v>
      </x:c>
      <x:c r="H44" s="3" t="str">
        <x:v>https://github.com/owl-go/agent-platform/blob/bb77a15d8b0cf6d760bb2e84fc3a432f7717052f/CONTEXT.md</x:v>
      </x:c>
    </x:row>
    <x:row r="45" ht="42" customHeight="1">
      <x:c r="A45" s="3" t="str">
        <x:v>S27</x:v>
      </x:c>
      <x:c r="B45" s="3" t="str">
        <x:v>资料依据</x:v>
      </x:c>
      <x:c r="C45" s="3" t="str">
        <x:v>会话输入框回归</x:v>
      </x:c>
      <x:c r="D45" s="3" t="str">
        <x:v>对应模块</x:v>
      </x:c>
      <x:c r="E45" s="3" t="str">
        <x:v>斜杠、@、IME、资源token、草稿与交互</x:v>
      </x:c>
      <x:c r="F45" s="3" t="str">
        <x:v>代码/测试存在不等于本次验收通过</x:v>
      </x:c>
      <x:c r="G45" s="3" t="str">
        <x:v>S27</x:v>
      </x:c>
      <x:c r="H45" s="3" t="str">
        <x:v>https://github.com/owl-go/agent-platform/blob/bb77a15d8b0cf6d760bb2e84fc3a432f7717052f/frontend/src/components/ConversationComposer.test.ts</x:v>
      </x:c>
    </x:row>
    <x:row r="46" ht="42" customHeight="1">
      <x:c r="A46" s="3" t="str">
        <x:v>S28</x:v>
      </x:c>
      <x:c r="B46" s="3" t="str">
        <x:v>资料依据</x:v>
      </x:c>
      <x:c r="C46" s="3" t="str">
        <x:v>CLI Wrapper回归</x:v>
      </x:c>
      <x:c r="D46" s="3" t="str">
        <x:v>对应模块</x:v>
      </x:c>
      <x:c r="E46" s="3" t="str">
        <x:v>argv、策略、授权、单次批准与执行安全边界</x:v>
      </x:c>
      <x:c r="F46" s="3" t="str">
        <x:v>代码/测试存在不等于本次验收通过</x:v>
      </x:c>
      <x:c r="G46" s="3" t="str">
        <x:v>S28</x:v>
      </x:c>
      <x:c r="H46" s="3" t="str">
        <x:v>https://github.com/owl-go/agent-platform/blob/bb77a15d8b0cf6d760bb2e84fc3a432f7717052f/backend/internal/cliconnector/wrapper_test.go</x:v>
      </x:c>
    </x:row>
    <x:row r="47" ht="42" customHeight="1">
      <x:c r="A47" s="3" t="str">
        <x:v>S29</x:v>
      </x:c>
      <x:c r="B47" s="3" t="str">
        <x:v>资料依据</x:v>
      </x:c>
      <x:c r="C47" s="3" t="str">
        <x:v>平台健康合同</x:v>
      </x:c>
      <x:c r="D47" s="3" t="str">
        <x:v>对应模块</x:v>
      </x:c>
      <x:c r="E47" s="3" t="str">
        <x:v>healthz与readyz公开合同</x:v>
      </x:c>
      <x:c r="F47" s="3" t="str">
        <x:v>代码/测试存在不等于本次验收通过</x:v>
      </x:c>
      <x:c r="G47" s="3" t="str">
        <x:v>S29</x:v>
      </x:c>
      <x:c r="H47" s="3" t="str">
        <x:v>https://github.com/owl-go/agent-platform/blob/bb77a15d8b0cf6d760bb2e84fc3a432f7717052f/backend/api/platform/v1/platform.proto</x:v>
      </x:c>
    </x:row>
  </x:sheetData>
  <x:pageMargins left="0.7" right="0.7" top="0.75" bottom="0.75" header="0.3" footer="0.3"/>
  <x:tableParts count="1">
    <x:tablePart xmlns:r="http://schemas.openxmlformats.org/officeDocument/2006/relationships" r:id="R00666afb330f43e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9" hidden="0" customWidth="1"/>
    <x:col min="4" max="4" width="10" hidden="0" customWidth="1"/>
    <x:col min="5" max="5" width="34" hidden="0" customWidth="1"/>
    <x:col min="6" max="6" width="45" hidden="0" customWidth="1"/>
    <x:col min="7" max="7" width="49" hidden="0" customWidth="1"/>
    <x:col min="8" max="8" width="46" hidden="0" customWidth="1"/>
    <x:col min="9" max="9" width="12" hidden="0" customWidth="1"/>
    <x:col min="10" max="10" width="66" hidden="0" customWidth="1"/>
    <x:col min="11" max="11" width="20" hidden="0" customWidth="1"/>
    <x:col min="12" max="12" width="13" hidden="0" customWidth="1"/>
    <x:col min="13" max="13" width="31" hidden="0" customWidth="1"/>
    <x:col min="14" max="14" width="41" hidden="0" customWidth="1"/>
  </x:cols>
  <x:sheetData>
    <x:row r="1" ht="30" customHeight="1">
      <x:c r="A1" s="22" t="str">
        <x:v>端到端测试执行结果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>
      <x:c r="A2" s="23" t="str">
        <x:v>2026-09-06；基线 e3bfc56 + 开发代理修正；真实浏览器/API/Keycloak/PostgreSQL/MinIO；Runtime 未执行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4" ht="32" customHeight="1">
      <x:c r="A4" s="27" t="str">
        <x:v>用例编号</x:v>
      </x:c>
      <x:c r="B4" s="27" t="str">
        <x:v>关联原用例</x:v>
      </x:c>
      <x:c r="C4" s="27" t="str">
        <x:v>执行类型</x:v>
      </x:c>
      <x:c r="D4" s="27" t="str">
        <x:v>优先级</x:v>
      </x:c>
      <x:c r="E4" s="27" t="str">
        <x:v>用例标题</x:v>
      </x:c>
      <x:c r="F4" s="27" t="str">
        <x:v>前置条件</x:v>
      </x:c>
      <x:c r="G4" s="27" t="str">
        <x:v>操作步骤</x:v>
      </x:c>
      <x:c r="H4" s="27" t="str">
        <x:v>预期结果</x:v>
      </x:c>
      <x:c r="I4" s="27" t="str">
        <x:v>执行状态</x:v>
      </x:c>
      <x:c r="J4" s="27" t="str">
        <x:v>实际结果</x:v>
      </x:c>
      <x:c r="K4" s="27" t="str">
        <x:v>缺陷编号</x:v>
      </x:c>
      <x:c r="L4" s="27" t="str">
        <x:v>耗时（秒）</x:v>
      </x:c>
      <x:c r="M4" s="27" t="str">
        <x:v>执行日期</x:v>
      </x:c>
      <x:c r="N4" s="27" t="str">
        <x:v>验证依据</x:v>
      </x:c>
    </x:row>
    <x:row r="5" ht="118" customHeight="1">
      <x:c r="A5" s="28" t="str">
        <x:v>E2E-001</x:v>
      </x:c>
      <x:c r="B5" s="28" t="str">
        <x:v>ACC-012
ACC-014</x:v>
      </x:c>
      <x:c r="C5" s="28" t="str">
        <x:v>浏览器 E2E</x:v>
      </x:c>
      <x:c r="D5" s="28" t="str">
        <x:v>P0</x:v>
      </x:c>
      <x:c r="E5" s="28" t="str">
        <x:v>浏览器登录和刷新恢复</x:v>
      </x:c>
      <x:c r="F5" s="28" t="str">
        <x:v>独立 PostgreSQL、Keycloak、MinIO 与当前 API/Web；管理员及普通用户均经真实 OIDC 登录</x:v>
      </x:c>
      <x:c r="G5" s="28" t="str">
        <x:v>1. 使用普通用户经 Keycloak 登录
2. 打开 Sessions 并刷新</x:v>
      </x:c>
      <x:c r="H5" s="28" t="str">
        <x:v>新建会话按钮可见；URL 无授权码参数</x:v>
      </x:c>
      <x:c r="I5" s="28" t="str">
        <x:v>通过</x:v>
      </x:c>
      <x:c r="J5" s="28" t="str">
        <x:v>本条自动化断言全部通过。仅证明这里列出的步骤，不扩展为完整手工用例通过。</x:v>
      </x:c>
      <x:c r="K5" s="28" t="str"/>
      <x:c r="L5" s="29" t="n">
        <x:v>0.468</x:v>
      </x:c>
      <x:c r="M5" s="28" t="str">
        <x:v>2026-09-06 17:21 Asia/Shanghai</x:v>
      </x:c>
      <x:c r="N5" s="28" t="str">
        <x:v>Playwright 最终完整运行；E2E-001；零重试；浏览器 E2E</x:v>
      </x:c>
    </x:row>
    <x:row r="6" ht="118" customHeight="1">
      <x:c r="A6" s="25" t="str">
        <x:v>E2E-002</x:v>
      </x:c>
      <x:c r="B6" s="25" t="str">
        <x:v>ACC-013</x:v>
      </x:c>
      <x:c r="C6" s="25" t="str">
        <x:v>API 集成 E2E</x:v>
      </x:c>
      <x:c r="D6" s="25" t="str">
        <x:v>P0</x:v>
      </x:c>
      <x:c r="E6" s="25" t="str">
        <x:v>匿名访问拒绝</x:v>
      </x:c>
      <x:c r="F6" s="25" t="str">
        <x:v>独立 PostgreSQL、Keycloak、MinIO 与当前 API/Web；管理员及普通用户均经真实 OIDC 登录</x:v>
      </x:c>
      <x:c r="G6" s="25" t="str">
        <x:v>1. 不携带 Token 请求 Sessions</x:v>
      </x:c>
      <x:c r="H6" s="25" t="str">
        <x:v>HTTP 401</x:v>
      </x:c>
      <x:c r="I6" s="25" t="str">
        <x:v>通过</x:v>
      </x:c>
      <x:c r="J6" s="25" t="str">
        <x:v>本条自动化断言全部通过。仅证明这里列出的步骤，不扩展为完整手工用例通过。</x:v>
      </x:c>
      <x:c r="K6" s="25" t="str"/>
      <x:c r="L6" s="30" t="n">
        <x:v>0.006</x:v>
      </x:c>
      <x:c r="M6" s="25" t="str">
        <x:v>2026-09-06 17:21 Asia/Shanghai</x:v>
      </x:c>
      <x:c r="N6" s="25" t="str">
        <x:v>Playwright 最终完整运行；E2E-002；零重试；API 集成 E2E</x:v>
      </x:c>
    </x:row>
    <x:row r="7" ht="118" customHeight="1">
      <x:c r="A7" s="28" t="str">
        <x:v>E2E-003</x:v>
      </x:c>
      <x:c r="B7" s="28" t="str">
        <x:v>ACC-013</x:v>
      </x:c>
      <x:c r="C7" s="28" t="str">
        <x:v>API 集成 E2E</x:v>
      </x:c>
      <x:c r="D7" s="28" t="str">
        <x:v>P0</x:v>
      </x:c>
      <x:c r="E7" s="28" t="str">
        <x:v>无效 Token 拒绝</x:v>
      </x:c>
      <x:c r="F7" s="28" t="str">
        <x:v>独立 PostgreSQL、Keycloak、MinIO 与当前 API/Web；管理员及普通用户均经真实 OIDC 登录</x:v>
      </x:c>
      <x:c r="G7" s="28" t="str">
        <x:v>1. 携带非法 Bearer Token 请求 Sessions</x:v>
      </x:c>
      <x:c r="H7" s="28" t="str">
        <x:v>HTTP 401</x:v>
      </x:c>
      <x:c r="I7" s="28" t="str">
        <x:v>通过</x:v>
      </x:c>
      <x:c r="J7" s="28" t="str">
        <x:v>本条自动化断言全部通过。仅证明这里列出的步骤，不扩展为完整手工用例通过。</x:v>
      </x:c>
      <x:c r="K7" s="28" t="str"/>
      <x:c r="L7" s="29" t="n">
        <x:v>0.017</x:v>
      </x:c>
      <x:c r="M7" s="28" t="str">
        <x:v>2026-09-06 17:21 Asia/Shanghai</x:v>
      </x:c>
      <x:c r="N7" s="28" t="str">
        <x:v>Playwright 最终完整运行；E2E-003；零重试；API 集成 E2E</x:v>
      </x:c>
    </x:row>
    <x:row r="8" ht="118" customHeight="1">
      <x:c r="A8" s="25" t="str">
        <x:v>E2E-004</x:v>
      </x:c>
      <x:c r="B8" s="25" t="str">
        <x:v>ACC-009</x:v>
      </x:c>
      <x:c r="C8" s="25" t="str">
        <x:v>API 集成 E2E</x:v>
      </x:c>
      <x:c r="D8" s="25" t="str">
        <x:v>P0</x:v>
      </x:c>
      <x:c r="E8" s="25" t="str">
        <x:v>账号管理权限</x:v>
      </x:c>
      <x:c r="F8" s="25" t="str">
        <x:v>独立 PostgreSQL、Keycloak、MinIO 与当前 API/Web；管理员及普通用户均经真实 OIDC 登录</x:v>
      </x:c>
      <x:c r="G8" s="25" t="str">
        <x:v>1. 普通用户请求账号列表和创建账号</x:v>
      </x:c>
      <x:c r="H8" s="25" t="str">
        <x:v>均为 HTTP 403</x:v>
      </x:c>
      <x:c r="I8" s="25" t="str">
        <x:v>通过</x:v>
      </x:c>
      <x:c r="J8" s="25" t="str">
        <x:v>本条自动化断言全部通过。仅证明这里列出的步骤，不扩展为完整手工用例通过。</x:v>
      </x:c>
      <x:c r="K8" s="25" t="str"/>
      <x:c r="L8" s="30" t="n">
        <x:v>0.008</x:v>
      </x:c>
      <x:c r="M8" s="25" t="str">
        <x:v>2026-09-06 17:21 Asia/Shanghai</x:v>
      </x:c>
      <x:c r="N8" s="25" t="str">
        <x:v>Playwright 最终完整运行；E2E-004；零重试；API 集成 E2E</x:v>
      </x:c>
    </x:row>
    <x:row r="9" ht="118" customHeight="1">
      <x:c r="A9" s="28" t="str">
        <x:v>E2E-005</x:v>
      </x:c>
      <x:c r="B9" s="28" t="str">
        <x:v>ACC-003</x:v>
      </x:c>
      <x:c r="C9" s="28" t="str">
        <x:v>API 集成 E2E</x:v>
      </x:c>
      <x:c r="D9" s="28" t="str">
        <x:v>P1</x:v>
      </x:c>
      <x:c r="E9" s="28" t="str">
        <x:v>重复用户名冲突</x:v>
      </x:c>
      <x:c r="F9" s="28" t="str">
        <x:v>独立 PostgreSQL、Keycloak、MinIO 与当前 API/Web；管理员及普通用户均经真实 OIDC 登录</x:v>
      </x:c>
      <x:c r="G9" s="28" t="str">
        <x:v>1. 管理员重复创建已存在用户名</x:v>
      </x:c>
      <x:c r="H9" s="28" t="str">
        <x:v>返回可识别的冲突错误；按当前领域映射为 HTTP 412</x:v>
      </x:c>
      <x:c r="I9" s="28" t="str">
        <x:v>失败</x:v>
      </x:c>
      <x:c r="J9" s="28" t="str">
        <x:v>失败：重复用户名返回 HTTP 500，预期为可识别的冲突错误（当前领域映射为 HTTP 412）。</x:v>
      </x:c>
      <x:c r="K9" s="28" t="str">
        <x:v>BUG-E2E-001</x:v>
      </x:c>
      <x:c r="L9" s="29" t="n">
        <x:v>0.026</x:v>
      </x:c>
      <x:c r="M9" s="28" t="str">
        <x:v>2026-09-06 17:21 Asia/Shanghai</x:v>
      </x:c>
      <x:c r="N9" s="28" t="str">
        <x:v>Playwright 最终完整运行；E2E-005；零重试；API 集成 E2E</x:v>
      </x:c>
    </x:row>
    <x:row r="10" ht="118" customHeight="1">
      <x:c r="A10" s="25" t="str">
        <x:v>E2E-006</x:v>
      </x:c>
      <x:c r="B10" s="25" t="str">
        <x:v>SES-008
SES-009
SES-010
SES-012</x:v>
      </x:c>
      <x:c r="C10" s="25" t="str">
        <x:v>API 集成 E2E</x:v>
      </x:c>
      <x:c r="D10" s="25" t="str">
        <x:v>P0</x:v>
      </x:c>
      <x:c r="E10" s="25" t="str">
        <x:v>会话完整管理</x:v>
      </x:c>
      <x:c r="F10" s="25" t="str">
        <x:v>独立 PostgreSQL、Keycloak、MinIO 与当前 API/Web；管理员及普通用户均经真实 OIDC 登录</x:v>
      </x:c>
      <x:c r="G10" s="25" t="str">
        <x:v>1. 创建会话
2. 改名
3. 归档
4. 查归档列表
5. 恢复
6. 删除
7. 查活动列表</x:v>
      </x:c>
      <x:c r="H10" s="25" t="str">
        <x:v>状态逐步持久化；删除后活动列表不再存在</x:v>
      </x:c>
      <x:c r="I10" s="25" t="str">
        <x:v>通过</x:v>
      </x:c>
      <x:c r="J10" s="25" t="str">
        <x:v>本条自动化断言全部通过。仅证明这里列出的步骤，不扩展为完整手工用例通过。</x:v>
      </x:c>
      <x:c r="K10" s="25" t="str"/>
      <x:c r="L10" s="30" t="n">
        <x:v>0.046</x:v>
      </x:c>
      <x:c r="M10" s="25" t="str">
        <x:v>2026-09-06 17:21 Asia/Shanghai</x:v>
      </x:c>
      <x:c r="N10" s="25" t="str">
        <x:v>Playwright 最终完整运行；E2E-006；零重试；API 集成 E2E</x:v>
      </x:c>
    </x:row>
    <x:row r="11" ht="118" customHeight="1">
      <x:c r="A11" s="28" t="str">
        <x:v>E2E-007</x:v>
      </x:c>
      <x:c r="B11" s="28" t="str">
        <x:v>SES-008</x:v>
      </x:c>
      <x:c r="C11" s="28" t="str">
        <x:v>API 集成 E2E</x:v>
      </x:c>
      <x:c r="D11" s="28" t="str">
        <x:v>P1</x:v>
      </x:c>
      <x:c r="E11" s="28" t="str">
        <x:v>会话版本冲突</x:v>
      </x:c>
      <x:c r="F11" s="28" t="str">
        <x:v>独立 PostgreSQL、Keycloak、MinIO 与当前 API/Web；管理员及普通用户均经真实 OIDC 登录</x:v>
      </x:c>
      <x:c r="G11" s="28" t="str">
        <x:v>1. 创建会话
2. 更新一次
3. 以旧版本再次更新</x:v>
      </x:c>
      <x:c r="H11" s="28" t="str">
        <x:v>旧版本请求 HTTP 412</x:v>
      </x:c>
      <x:c r="I11" s="28" t="str">
        <x:v>通过</x:v>
      </x:c>
      <x:c r="J11" s="28" t="str">
        <x:v>本条自动化断言全部通过。仅证明这里列出的步骤，不扩展为完整手工用例通过。</x:v>
      </x:c>
      <x:c r="K11" s="28" t="str"/>
      <x:c r="L11" s="29" t="n">
        <x:v>0.015</x:v>
      </x:c>
      <x:c r="M11" s="28" t="str">
        <x:v>2026-09-06 17:21 Asia/Shanghai</x:v>
      </x:c>
      <x:c r="N11" s="28" t="str">
        <x:v>Playwright 最终完整运行；E2E-007；零重试；API 集成 E2E</x:v>
      </x:c>
    </x:row>
    <x:row r="12" ht="118" customHeight="1">
      <x:c r="A12" s="25" t="str">
        <x:v>E2E-008</x:v>
      </x:c>
      <x:c r="B12" s="25" t="str">
        <x:v>ACC-010
SEC-001</x:v>
      </x:c>
      <x:c r="C12" s="25" t="str">
        <x:v>API 集成 E2E</x:v>
      </x:c>
      <x:c r="D12" s="25" t="str">
        <x:v>P0</x:v>
      </x:c>
      <x:c r="E12" s="25" t="str">
        <x:v>会话所有者隔离</x:v>
      </x:c>
      <x:c r="F12" s="25" t="str">
        <x:v>独立 PostgreSQL、Keycloak、MinIO 与当前 API/Web；管理员及普通用户均经真实 OIDC 登录</x:v>
      </x:c>
      <x:c r="G12" s="25" t="str">
        <x:v>1. 普通用户创建会话
2. 管理员列举、读取消息和删除该会话</x:v>
      </x:c>
      <x:c r="H12" s="25" t="str">
        <x:v>列表不含其他用户会话；读取和删除均 HTTP 404</x:v>
      </x:c>
      <x:c r="I12" s="25" t="str">
        <x:v>通过</x:v>
      </x:c>
      <x:c r="J12" s="25" t="str">
        <x:v>本条自动化断言全部通过。仅证明这里列出的步骤，不扩展为完整手工用例通过。</x:v>
      </x:c>
      <x:c r="K12" s="25" t="str"/>
      <x:c r="L12" s="30" t="n">
        <x:v>0.019</x:v>
      </x:c>
      <x:c r="M12" s="25" t="str">
        <x:v>2026-09-06 17:21 Asia/Shanghai</x:v>
      </x:c>
      <x:c r="N12" s="25" t="str">
        <x:v>Playwright 最终完整运行；E2E-008；零重试；API 集成 E2E</x:v>
      </x:c>
    </x:row>
    <x:row r="13" ht="118" customHeight="1">
      <x:c r="A13" s="28" t="str">
        <x:v>E2E-009</x:v>
      </x:c>
      <x:c r="B13" s="28" t="str">
        <x:v>EXP-001
EXP-015</x:v>
      </x:c>
      <x:c r="C13" s="28" t="str">
        <x:v>API 集成 E2E</x:v>
      </x:c>
      <x:c r="D13" s="28" t="str">
        <x:v>P0</x:v>
      </x:c>
      <x:c r="E13" s="28" t="str">
        <x:v>结构化专家管理</x:v>
      </x:c>
      <x:c r="F13" s="28" t="str">
        <x:v>独立 PostgreSQL、Keycloak、MinIO 与当前 API/Web；管理员及普通用户均经真实 OIDC 登录</x:v>
      </x:c>
      <x:c r="G13" s="28" t="str">
        <x:v>1. 创建完整专家
2. 改名和指导内容
3. 读取
4. 删除
5. 再次读取</x:v>
      </x:c>
      <x:c r="H13" s="28" t="str">
        <x:v>complete=true；字段持久化；删除后 HTTP 404</x:v>
      </x:c>
      <x:c r="I13" s="28" t="str">
        <x:v>通过</x:v>
      </x:c>
      <x:c r="J13" s="28" t="str">
        <x:v>本条自动化断言全部通过。仅证明这里列出的步骤，不扩展为完整手工用例通过。</x:v>
      </x:c>
      <x:c r="K13" s="28" t="str"/>
      <x:c r="L13" s="29" t="n">
        <x:v>0.027</x:v>
      </x:c>
      <x:c r="M13" s="28" t="str">
        <x:v>2026-09-06 17:21 Asia/Shanghai</x:v>
      </x:c>
      <x:c r="N13" s="28" t="str">
        <x:v>Playwright 最终完整运行；E2E-009；零重试；API 集成 E2E</x:v>
      </x:c>
    </x:row>
    <x:row r="14" ht="118" customHeight="1">
      <x:c r="A14" s="25" t="str">
        <x:v>E2E-010</x:v>
      </x:c>
      <x:c r="B14" s="25" t="str">
        <x:v>ACC-010
SEC-001</x:v>
      </x:c>
      <x:c r="C14" s="25" t="str">
        <x:v>API 集成 E2E</x:v>
      </x:c>
      <x:c r="D14" s="25" t="str">
        <x:v>P0</x:v>
      </x:c>
      <x:c r="E14" s="25" t="str">
        <x:v>专家所有者隔离</x:v>
      </x:c>
      <x:c r="F14" s="25" t="str">
        <x:v>独立 PostgreSQL、Keycloak、MinIO 与当前 API/Web；管理员及普通用户均经真实 OIDC 登录</x:v>
      </x:c>
      <x:c r="G14" s="25" t="str">
        <x:v>1. 普通用户创建专家
2. 管理员读取和删除</x:v>
      </x:c>
      <x:c r="H14" s="25" t="str">
        <x:v>均为 HTTP 404</x:v>
      </x:c>
      <x:c r="I14" s="25" t="str">
        <x:v>通过</x:v>
      </x:c>
      <x:c r="J14" s="25" t="str">
        <x:v>本条自动化断言全部通过。仅证明这里列出的步骤，不扩展为完整手工用例通过。</x:v>
      </x:c>
      <x:c r="K14" s="25" t="str"/>
      <x:c r="L14" s="30" t="n">
        <x:v>0.012</x:v>
      </x:c>
      <x:c r="M14" s="25" t="str">
        <x:v>2026-09-06 17:21 Asia/Shanghai</x:v>
      </x:c>
      <x:c r="N14" s="25" t="str">
        <x:v>Playwright 最终完整运行；E2E-010；零重试；API 集成 E2E</x:v>
      </x:c>
    </x:row>
    <x:row r="15" ht="118" customHeight="1">
      <x:c r="A15" s="28" t="str">
        <x:v>E2E-011</x:v>
      </x:c>
      <x:c r="B15" s="28" t="str">
        <x:v>EXP-002</x:v>
      </x:c>
      <x:c r="C15" s="28" t="str">
        <x:v>API 集成 E2E</x:v>
      </x:c>
      <x:c r="D15" s="28" t="str">
        <x:v>P1</x:v>
      </x:c>
      <x:c r="E15" s="28" t="str">
        <x:v>专家必填名称</x:v>
      </x:c>
      <x:c r="F15" s="28" t="str">
        <x:v>独立 PostgreSQL、Keycloak、MinIO 与当前 API/Web；管理员及普通用户均经真实 OIDC 登录</x:v>
      </x:c>
      <x:c r="G15" s="28" t="str">
        <x:v>1. 提交空名称和其他有效结构化字段</x:v>
      </x:c>
      <x:c r="H15" s="28" t="str">
        <x:v>HTTP 422</x:v>
      </x:c>
      <x:c r="I15" s="28" t="str">
        <x:v>通过</x:v>
      </x:c>
      <x:c r="J15" s="28" t="str">
        <x:v>本条自动化断言全部通过。仅证明这里列出的步骤，不扩展为完整手工用例通过。</x:v>
      </x:c>
      <x:c r="K15" s="28" t="str"/>
      <x:c r="L15" s="29" t="n">
        <x:v>0.003</x:v>
      </x:c>
      <x:c r="M15" s="28" t="str">
        <x:v>2026-09-06 17:21 Asia/Shanghai</x:v>
      </x:c>
      <x:c r="N15" s="28" t="str">
        <x:v>Playwright 最终完整运行；E2E-011；零重试；API 集成 E2E</x:v>
      </x:c>
    </x:row>
    <x:row r="16" ht="118" customHeight="1">
      <x:c r="A16" s="25" t="str">
        <x:v>E2E-012</x:v>
      </x:c>
      <x:c r="B16" s="25" t="str">
        <x:v>TEAM-001
TEAM-006</x:v>
      </x:c>
      <x:c r="C16" s="25" t="str">
        <x:v>API 集成 E2E</x:v>
      </x:c>
      <x:c r="D16" s="25" t="str">
        <x:v>P0</x:v>
      </x:c>
      <x:c r="E16" s="25" t="str">
        <x:v>团队成员顺序持久化</x:v>
      </x:c>
      <x:c r="F16" s="25" t="str">
        <x:v>独立 PostgreSQL、Keycloak、MinIO 与当前 API/Web；管理员及普通用户均经真实 OIDC 登录</x:v>
      </x:c>
      <x:c r="G16" s="25" t="str">
        <x:v>1. 创建两位专家
2. 以作者、审核者顺序建立团队
3. 读回
4. 删除团队</x:v>
      </x:c>
      <x:c r="H16" s="25" t="str">
        <x:v>读回顺序与专家身份一致；删除成功</x:v>
      </x:c>
      <x:c r="I16" s="25" t="str">
        <x:v>通过</x:v>
      </x:c>
      <x:c r="J16" s="25" t="str">
        <x:v>本条自动化断言全部通过。仅证明这里列出的步骤，不扩展为完整手工用例通过。</x:v>
      </x:c>
      <x:c r="K16" s="25" t="str"/>
      <x:c r="L16" s="30" t="n">
        <x:v>0.026</x:v>
      </x:c>
      <x:c r="M16" s="25" t="str">
        <x:v>2026-09-06 17:21 Asia/Shanghai</x:v>
      </x:c>
      <x:c r="N16" s="25" t="str">
        <x:v>Playwright 最终完整运行；E2E-012；零重试；API 集成 E2E</x:v>
      </x:c>
    </x:row>
    <x:row r="17" ht="118" customHeight="1">
      <x:c r="A17" s="28" t="str">
        <x:v>E2E-013</x:v>
      </x:c>
      <x:c r="B17" s="28" t="str">
        <x:v>WF-001
WF-003
WF-020</x:v>
      </x:c>
      <x:c r="C17" s="28" t="str">
        <x:v>API 集成 E2E</x:v>
      </x:c>
      <x:c r="D17" s="28" t="str">
        <x:v>P0</x:v>
      </x:c>
      <x:c r="E17" s="28" t="str">
        <x:v>工作流管理</x:v>
      </x:c>
      <x:c r="F17" s="28" t="str">
        <x:v>独立 PostgreSQL、Keycloak、MinIO 与当前 API/Web；管理员及普通用户均经真实 OIDC 登录</x:v>
      </x:c>
      <x:c r="G17" s="28" t="str">
        <x:v>1. 创建最小工作流
2. 改名
3. 读回
4. 删除
5. 查询活动列表</x:v>
      </x:c>
      <x:c r="H17" s="28" t="str">
        <x:v>配置持久化；删除后不在活动列表</x:v>
      </x:c>
      <x:c r="I17" s="28" t="str">
        <x:v>通过</x:v>
      </x:c>
      <x:c r="J17" s="28" t="str">
        <x:v>本条自动化断言全部通过。仅证明这里列出的步骤，不扩展为完整手工用例通过。</x:v>
      </x:c>
      <x:c r="K17" s="28" t="str"/>
      <x:c r="L17" s="29" t="n">
        <x:v>0.032</x:v>
      </x:c>
      <x:c r="M17" s="28" t="str">
        <x:v>2026-09-06 17:21 Asia/Shanghai</x:v>
      </x:c>
      <x:c r="N17" s="28" t="str">
        <x:v>Playwright 最终完整运行；E2E-013；零重试；API 集成 E2E</x:v>
      </x:c>
    </x:row>
    <x:row r="18" ht="118" customHeight="1">
      <x:c r="A18" s="25" t="str">
        <x:v>E2E-014</x:v>
      </x:c>
      <x:c r="B18" s="25" t="str">
        <x:v>SEC-001</x:v>
      </x:c>
      <x:c r="C18" s="25" t="str">
        <x:v>API 集成 E2E</x:v>
      </x:c>
      <x:c r="D18" s="25" t="str">
        <x:v>P0</x:v>
      </x:c>
      <x:c r="E18" s="25" t="str">
        <x:v>工作流所有者隔离</x:v>
      </x:c>
      <x:c r="F18" s="25" t="str">
        <x:v>独立 PostgreSQL、Keycloak、MinIO 与当前 API/Web；管理员及普通用户均经真实 OIDC 登录</x:v>
      </x:c>
      <x:c r="G18" s="25" t="str">
        <x:v>1. 普通用户创建工作流
2. 管理员读取详情和 Workspace</x:v>
      </x:c>
      <x:c r="H18" s="25" t="str">
        <x:v>均为 HTTP 404</x:v>
      </x:c>
      <x:c r="I18" s="25" t="str">
        <x:v>通过</x:v>
      </x:c>
      <x:c r="J18" s="25" t="str">
        <x:v>本条自动化断言全部通过。仅证明这里列出的步骤，不扩展为完整手工用例通过。</x:v>
      </x:c>
      <x:c r="K18" s="25" t="str"/>
      <x:c r="L18" s="30" t="n">
        <x:v>0.016</x:v>
      </x:c>
      <x:c r="M18" s="25" t="str">
        <x:v>2026-09-06 17:21 Asia/Shanghai</x:v>
      </x:c>
      <x:c r="N18" s="25" t="str">
        <x:v>Playwright 最终完整运行；E2E-014；零重试；API 集成 E2E</x:v>
      </x:c>
    </x:row>
    <x:row r="19" ht="118" customHeight="1">
      <x:c r="A19" s="28" t="str">
        <x:v>E2E-015</x:v>
      </x:c>
      <x:c r="B19" s="28" t="str">
        <x:v>WF-017</x:v>
      </x:c>
      <x:c r="C19" s="28" t="str">
        <x:v>API 集成 E2E</x:v>
      </x:c>
      <x:c r="D19" s="28" t="str">
        <x:v>P0</x:v>
      </x:c>
      <x:c r="E19" s="28" t="str">
        <x:v>Secret 环境变量只写</x:v>
      </x:c>
      <x:c r="F19" s="28" t="str">
        <x:v>独立 PostgreSQL、Keycloak、MinIO 与当前 API/Web；管理员及普通用户均经真实 OIDC 登录</x:v>
      </x:c>
      <x:c r="G19" s="28" t="str">
        <x:v>1. 创建含随机 Secret 的工作流
2. 读取详情</x:v>
      </x:c>
      <x:c r="H19" s="28" t="str">
        <x:v>响应不含 Secret 原文；configured=true</x:v>
      </x:c>
      <x:c r="I19" s="28" t="str">
        <x:v>通过</x:v>
      </x:c>
      <x:c r="J19" s="28" t="str">
        <x:v>本条自动化断言全部通过。仅证明这里列出的步骤，不扩展为完整手工用例通过。</x:v>
      </x:c>
      <x:c r="K19" s="28" t="str"/>
      <x:c r="L19" s="29" t="n">
        <x:v>0.012</x:v>
      </x:c>
      <x:c r="M19" s="28" t="str">
        <x:v>2026-09-06 17:21 Asia/Shanghai</x:v>
      </x:c>
      <x:c r="N19" s="28" t="str">
        <x:v>Playwright 最终完整运行；E2E-015；零重试；API 集成 E2E</x:v>
      </x:c>
    </x:row>
    <x:row r="20" ht="118" customHeight="1">
      <x:c r="A20" s="25" t="str">
        <x:v>E2E-016</x:v>
      </x:c>
      <x:c r="B20" s="25" t="str">
        <x:v>WSP-001
WSP-004</x:v>
      </x:c>
      <x:c r="C20" s="25" t="str">
        <x:v>API 集成 E2E</x:v>
      </x:c>
      <x:c r="D20" s="25" t="str">
        <x:v>P0</x:v>
      </x:c>
      <x:c r="E20" s="25" t="str">
        <x:v>空目录及路径越界</x:v>
      </x:c>
      <x:c r="F20" s="25" t="str">
        <x:v>独立 PostgreSQL、Keycloak、MinIO 与当前 API/Web；管理员及普通用户均经真实 OIDC 登录</x:v>
      </x:c>
      <x:c r="G20" s="25" t="str">
        <x:v>1. 创建工作流
2. 列目录
3. 读取 ../../etc/passwd</x:v>
      </x:c>
      <x:c r="H20" s="25" t="str">
        <x:v>目录为空；越界请求 HTTP 422</x:v>
      </x:c>
      <x:c r="I20" s="25" t="str">
        <x:v>通过</x:v>
      </x:c>
      <x:c r="J20" s="25" t="str">
        <x:v>本条自动化断言全部通过。仅证明这里列出的步骤，不扩展为完整手工用例通过。</x:v>
      </x:c>
      <x:c r="K20" s="25" t="str"/>
      <x:c r="L20" s="30" t="n">
        <x:v>0.015</x:v>
      </x:c>
      <x:c r="M20" s="25" t="str">
        <x:v>2026-09-06 17:21 Asia/Shanghai</x:v>
      </x:c>
      <x:c r="N20" s="25" t="str">
        <x:v>Playwright 最终完整运行；E2E-016；零重试；API 集成 E2E</x:v>
      </x:c>
    </x:row>
    <x:row r="21" ht="118" customHeight="1">
      <x:c r="A21" s="28" t="str">
        <x:v>E2E-017</x:v>
      </x:c>
      <x:c r="B21" s="28" t="str">
        <x:v>SET-017
SET-019</x:v>
      </x:c>
      <x:c r="C21" s="28" t="str">
        <x:v>API 集成 E2E</x:v>
      </x:c>
      <x:c r="D21" s="28" t="str">
        <x:v>P0</x:v>
      </x:c>
      <x:c r="E21" s="28" t="str">
        <x:v>个人设置持久化与版本冲突</x:v>
      </x:c>
      <x:c r="F21" s="28" t="str">
        <x:v>独立 PostgreSQL、Keycloak、MinIO 与当前 API/Web；管理员及普通用户均经真实 OIDC 登录</x:v>
      </x:c>
      <x:c r="G21" s="28" t="str">
        <x:v>1. 保存自定义人格指导
2. 重新读取
3. 旧版本再次保存</x:v>
      </x:c>
      <x:c r="H21" s="28" t="str">
        <x:v>指导内容一致；旧版本 HTTP 412</x:v>
      </x:c>
      <x:c r="I21" s="28" t="str">
        <x:v>通过</x:v>
      </x:c>
      <x:c r="J21" s="28" t="str">
        <x:v>本条自动化断言全部通过。仅证明这里列出的步骤，不扩展为完整手工用例通过。</x:v>
      </x:c>
      <x:c r="K21" s="28" t="str"/>
      <x:c r="L21" s="29" t="n">
        <x:v>0.019</x:v>
      </x:c>
      <x:c r="M21" s="28" t="str">
        <x:v>2026-09-06 17:21 Asia/Shanghai</x:v>
      </x:c>
      <x:c r="N21" s="28" t="str">
        <x:v>Playwright 最终完整运行；E2E-017；零重试；API 集成 E2E</x:v>
      </x:c>
    </x:row>
    <x:row r="22" ht="118" customHeight="1">
      <x:c r="A22" s="25" t="str">
        <x:v>E2E-018</x:v>
      </x:c>
      <x:c r="B22" s="25" t="str">
        <x:v>SET-003</x:v>
      </x:c>
      <x:c r="C22" s="25" t="str">
        <x:v>API 集成 E2E</x:v>
      </x:c>
      <x:c r="D22" s="25" t="str">
        <x:v>P0</x:v>
      </x:c>
      <x:c r="E22" s="25" t="str">
        <x:v>全局模型目录权限</x:v>
      </x:c>
      <x:c r="F22" s="25" t="str">
        <x:v>独立 PostgreSQL、Keycloak、MinIO 与当前 API/Web；管理员及普通用户均经真实 OIDC 登录</x:v>
      </x:c>
      <x:c r="G22" s="25" t="str">
        <x:v>1. 普通用户尝试创建模型连接</x:v>
      </x:c>
      <x:c r="H22" s="25" t="str">
        <x:v>HTTP 403</x:v>
      </x:c>
      <x:c r="I22" s="25" t="str">
        <x:v>通过</x:v>
      </x:c>
      <x:c r="J22" s="25" t="str">
        <x:v>本条自动化断言全部通过。仅证明这里列出的步骤，不扩展为完整手工用例通过。</x:v>
      </x:c>
      <x:c r="K22" s="25" t="str"/>
      <x:c r="L22" s="30" t="n">
        <x:v>0.009</x:v>
      </x:c>
      <x:c r="M22" s="25" t="str">
        <x:v>2026-09-06 17:21 Asia/Shanghai</x:v>
      </x:c>
      <x:c r="N22" s="25" t="str">
        <x:v>Playwright 最终完整运行；E2E-018；零重试；API 集成 E2E</x:v>
      </x:c>
    </x:row>
    <x:row r="23" ht="118" customHeight="1">
      <x:c r="A23" s="28" t="str">
        <x:v>E2E-019</x:v>
      </x:c>
      <x:c r="B23" s="28" t="str">
        <x:v>SET-015</x:v>
      </x:c>
      <x:c r="C23" s="28" t="str">
        <x:v>API 集成 E2E</x:v>
      </x:c>
      <x:c r="D23" s="28" t="str">
        <x:v>P0</x:v>
      </x:c>
      <x:c r="E23" s="28" t="str">
        <x:v>Runtime 可用性如实呈现</x:v>
      </x:c>
      <x:c r="F23" s="28" t="str">
        <x:v>独立 PostgreSQL、Keycloak、MinIO 与当前 API/Web；管理员及普通用户均经真实 OIDC 登录</x:v>
      </x:c>
      <x:c r="G23" s="28" t="str">
        <x:v>1. 读取五种 Runtime 状态</x:v>
      </x:c>
      <x:c r="H23" s="28" t="str">
        <x:v>全部 unavailable；native_resume=false</x:v>
      </x:c>
      <x:c r="I23" s="28" t="str">
        <x:v>通过</x:v>
      </x:c>
      <x:c r="J23" s="28" t="str">
        <x:v>本条自动化断言全部通过。仅证明这里列出的步骤，不扩展为完整手工用例通过。</x:v>
      </x:c>
      <x:c r="K23" s="28" t="str"/>
      <x:c r="L23" s="29" t="n">
        <x:v>0.004</x:v>
      </x:c>
      <x:c r="M23" s="28" t="str">
        <x:v>2026-09-06 17:21 Asia/Shanghai</x:v>
      </x:c>
      <x:c r="N23" s="28" t="str">
        <x:v>Playwright 最终完整运行；E2E-019；零重试；API 集成 E2E</x:v>
      </x:c>
    </x:row>
    <x:row r="24" ht="118" customHeight="1">
      <x:c r="A24" s="25" t="str">
        <x:v>E2E-020</x:v>
      </x:c>
      <x:c r="B24" s="25" t="str">
        <x:v>FIL-015
FIL-019
FIL-021</x:v>
      </x:c>
      <x:c r="C24" s="25" t="str">
        <x:v>API 集成 E2E</x:v>
      </x:c>
      <x:c r="D24" s="25" t="str">
        <x:v>P0</x:v>
      </x:c>
      <x:c r="E24" s="25" t="str">
        <x:v>附件上传和下载</x:v>
      </x:c>
      <x:c r="F24" s="25" t="str">
        <x:v>独立 PostgreSQL、Keycloak、MinIO 与当前 API/Web；管理员及普通用户均经真实 OIDC 登录</x:v>
      </x:c>
      <x:c r="G24" s="25" t="str">
        <x:v>1. 上传文本
2. 核对 SHA-256
3. 认证下载并逐字节比较
4. 另一用户下载</x:v>
      </x:c>
      <x:c r="H24" s="25" t="str">
        <x:v>哈希及内容一致；跨所有者下载 HTTP 404</x:v>
      </x:c>
      <x:c r="I24" s="25" t="str">
        <x:v>通过</x:v>
      </x:c>
      <x:c r="J24" s="25" t="str">
        <x:v>本条自动化断言全部通过。仅证明这里列出的步骤，不扩展为完整手工用例通过。</x:v>
      </x:c>
      <x:c r="K24" s="25" t="str"/>
      <x:c r="L24" s="30" t="n">
        <x:v>0.069</x:v>
      </x:c>
      <x:c r="M24" s="25" t="str">
        <x:v>2026-09-06 17:21 Asia/Shanghai</x:v>
      </x:c>
      <x:c r="N24" s="25" t="str">
        <x:v>Playwright 最终完整运行；E2E-020；零重试；API 集成 E2E</x:v>
      </x:c>
    </x:row>
    <x:row r="25" ht="118" customHeight="1">
      <x:c r="A25" s="28" t="str">
        <x:v>E2E-021</x:v>
      </x:c>
      <x:c r="B25" s="28" t="str">
        <x:v>CRD-001
CRD-031</x:v>
      </x:c>
      <x:c r="C25" s="28" t="str">
        <x:v>API 集成 E2E</x:v>
      </x:c>
      <x:c r="D25" s="28" t="str">
        <x:v>P0</x:v>
      </x:c>
      <x:c r="E25" s="28" t="str">
        <x:v>积分读取与管理权限</x:v>
      </x:c>
      <x:c r="F25" s="28" t="str">
        <x:v>独立 PostgreSQL、Keycloak、MinIO 与当前 API/Web；管理员及普通用户均经真实 OIDC 登录</x:v>
      </x:c>
      <x:c r="G25" s="28" t="str">
        <x:v>1. 读余额和账本
2. 普通用户尝试生成兑换码</x:v>
      </x:c>
      <x:c r="H25" s="28" t="str">
        <x:v>余额非负；账本可读；生成兑换码 HTTP 403</x:v>
      </x:c>
      <x:c r="I25" s="28" t="str">
        <x:v>通过</x:v>
      </x:c>
      <x:c r="J25" s="28" t="str">
        <x:v>本条自动化断言全部通过。仅证明这里列出的步骤，不扩展为完整手工用例通过。</x:v>
      </x:c>
      <x:c r="K25" s="28" t="str"/>
      <x:c r="L25" s="29" t="n">
        <x:v>0.014</x:v>
      </x:c>
      <x:c r="M25" s="28" t="str">
        <x:v>2026-09-06 17:21 Asia/Shanghai</x:v>
      </x:c>
      <x:c r="N25" s="28" t="str">
        <x:v>Playwright 最终完整运行；E2E-021；零重试；API 集成 E2E</x:v>
      </x:c>
    </x:row>
    <x:row r="26" ht="118" customHeight="1">
      <x:c r="A26" s="25" t="str">
        <x:v>E2E-022</x:v>
      </x:c>
      <x:c r="B26" s="25" t="str">
        <x:v>CRD-025
CRD-027</x:v>
      </x:c>
      <x:c r="C26" s="25" t="str">
        <x:v>API 集成 E2E</x:v>
      </x:c>
      <x:c r="D26" s="25" t="str">
        <x:v>P0</x:v>
      </x:c>
      <x:c r="E26" s="25" t="str">
        <x:v>兑换仅生效一次</x:v>
      </x:c>
      <x:c r="F26" s="25" t="str">
        <x:v>独立 PostgreSQL、Keycloak、MinIO 与当前 API/Web；管理员及普通用户均经真实 OIDC 登录</x:v>
      </x:c>
      <x:c r="G26" s="25" t="str">
        <x:v>1. 管理员生成 1234 百分积分兑换码
2. 用户兑换
3. 重复兑换
4. 再查余额</x:v>
      </x:c>
      <x:c r="H26" s="25" t="str">
        <x:v>首次增加 1234；再次 HTTP 422；余额不重复增加</x:v>
      </x:c>
      <x:c r="I26" s="25" t="str">
        <x:v>通过</x:v>
      </x:c>
      <x:c r="J26" s="25" t="str">
        <x:v>本条自动化断言全部通过。仅证明这里列出的步骤，不扩展为完整手工用例通过。</x:v>
      </x:c>
      <x:c r="K26" s="25" t="str"/>
      <x:c r="L26" s="30" t="n">
        <x:v>0.037</x:v>
      </x:c>
      <x:c r="M26" s="25" t="str">
        <x:v>2026-09-06 17:21 Asia/Shanghai</x:v>
      </x:c>
      <x:c r="N26" s="25" t="str">
        <x:v>Playwright 最终完整运行；E2E-022；零重试；API 集成 E2E</x:v>
      </x:c>
    </x:row>
    <x:row r="27" ht="118" customHeight="1">
      <x:c r="A27" s="28" t="str">
        <x:v>E2E-023</x:v>
      </x:c>
      <x:c r="B27" s="28" t="str">
        <x:v>CLI-001
CLI-008</x:v>
      </x:c>
      <x:c r="C27" s="28" t="str">
        <x:v>API 集成 E2E</x:v>
      </x:c>
      <x:c r="D27" s="28" t="str">
        <x:v>P0</x:v>
      </x:c>
      <x:c r="E27" s="28" t="str">
        <x:v>CLI 管理权限</x:v>
      </x:c>
      <x:c r="F27" s="28" t="str">
        <x:v>独立 PostgreSQL、Keycloak、MinIO 与当前 API/Web；管理员及普通用户均经真实 OIDC 登录</x:v>
      </x:c>
      <x:c r="G27" s="28" t="str">
        <x:v>1. 普通用户创建 CLI Definition 和读取健康页数据</x:v>
      </x:c>
      <x:c r="H27" s="28" t="str">
        <x:v>均为 HTTP 403</x:v>
      </x:c>
      <x:c r="I27" s="28" t="str">
        <x:v>通过</x:v>
      </x:c>
      <x:c r="J27" s="28" t="str">
        <x:v>本条自动化断言全部通过。仅证明这里列出的步骤，不扩展为完整手工用例通过。</x:v>
      </x:c>
      <x:c r="K27" s="28" t="str"/>
      <x:c r="L27" s="29" t="n">
        <x:v>0.007</x:v>
      </x:c>
      <x:c r="M27" s="28" t="str">
        <x:v>2026-09-06 17:21 Asia/Shanghai</x:v>
      </x:c>
      <x:c r="N27" s="28" t="str">
        <x:v>Playwright 最终完整运行；E2E-023；零重试；API 集成 E2E</x:v>
      </x:c>
    </x:row>
    <x:row r="28" ht="118" customHeight="1">
      <x:c r="A28" s="25" t="str">
        <x:v>E2E-024</x:v>
      </x:c>
      <x:c r="B28" s="25" t="str">
        <x:v>APR-001</x:v>
      </x:c>
      <x:c r="C28" s="25" t="str">
        <x:v>API 集成 E2E</x:v>
      </x:c>
      <x:c r="D28" s="25" t="str">
        <x:v>P0</x:v>
      </x:c>
      <x:c r="E28" s="25" t="str">
        <x:v>审批初始状态</x:v>
      </x:c>
      <x:c r="F28" s="25" t="str">
        <x:v>独立 PostgreSQL、Keycloak、MinIO 与当前 API/Web；管理员及普通用户均经真实 OIDC 登录</x:v>
      </x:c>
      <x:c r="G28" s="25" t="str">
        <x:v>1. 新账号读取待处理命令审批列表</x:v>
      </x:c>
      <x:c r="H28" s="25" t="str">
        <x:v>列表为空；不代表审批执行流程已验收</x:v>
      </x:c>
      <x:c r="I28" s="25" t="str">
        <x:v>通过</x:v>
      </x:c>
      <x:c r="J28" s="25" t="str">
        <x:v>本条自动化断言全部通过。仅证明这里列出的步骤，不扩展为完整手工用例通过。</x:v>
      </x:c>
      <x:c r="K28" s="25" t="str"/>
      <x:c r="L28" s="30" t="n">
        <x:v>0.006</x:v>
      </x:c>
      <x:c r="M28" s="25" t="str">
        <x:v>2026-09-06 17:21 Asia/Shanghai</x:v>
      </x:c>
      <x:c r="N28" s="25" t="str">
        <x:v>Playwright 最终完整运行；E2E-024；零重试；API 集成 E2E</x:v>
      </x:c>
    </x:row>
    <x:row r="29" ht="118" customHeight="1">
      <x:c r="A29" s="28" t="str">
        <x:v>E2E-025</x:v>
      </x:c>
      <x:c r="B29" s="28" t="str">
        <x:v>UI-001</x:v>
      </x:c>
      <x:c r="C29" s="28" t="str">
        <x:v>浏览器 E2E</x:v>
      </x:c>
      <x:c r="D29" s="28" t="str">
        <x:v>P1</x:v>
      </x:c>
      <x:c r="E29" s="28" t="str">
        <x:v>工作流页面加载</x:v>
      </x:c>
      <x:c r="F29" s="28" t="str">
        <x:v>独立 PostgreSQL、Keycloak、MinIO 与当前 API/Web；管理员及普通用户均经真实 OIDC 登录</x:v>
      </x:c>
      <x:c r="G29" s="28" t="str">
        <x:v>1. 浏览器打开工作流目录</x:v>
      </x:c>
      <x:c r="H29" s="28" t="str">
        <x:v>标题与新建会话按钮可见；没有 pageerror</x:v>
      </x:c>
      <x:c r="I29" s="28" t="str">
        <x:v>通过</x:v>
      </x:c>
      <x:c r="J29" s="28" t="str">
        <x:v>本条自动化断言全部通过。仅证明这里列出的步骤，不扩展为完整手工用例通过。</x:v>
      </x:c>
      <x:c r="K29" s="28" t="str"/>
      <x:c r="L29" s="29" t="n">
        <x:v>0.392</x:v>
      </x:c>
      <x:c r="M29" s="28" t="str">
        <x:v>2026-09-06 17:21 Asia/Shanghai</x:v>
      </x:c>
      <x:c r="N29" s="28" t="str">
        <x:v>Playwright 最终完整运行；E2E-025；零重试；浏览器 E2E</x:v>
      </x:c>
    </x:row>
    <x:row r="30" ht="118" customHeight="1">
      <x:c r="A30" s="25" t="str">
        <x:v>E2E-026</x:v>
      </x:c>
      <x:c r="B30" s="25" t="str">
        <x:v>UI-001
UI-003</x:v>
      </x:c>
      <x:c r="C30" s="25" t="str">
        <x:v>浏览器 E2E</x:v>
      </x:c>
      <x:c r="D30" s="25" t="str">
        <x:v>P1</x:v>
      </x:c>
      <x:c r="E30" s="25" t="str">
        <x:v>专家页面加载</x:v>
      </x:c>
      <x:c r="F30" s="25" t="str">
        <x:v>独立 PostgreSQL、Keycloak、MinIO 与当前 API/Web；管理员及普通用户均经真实 OIDC 登录</x:v>
      </x:c>
      <x:c r="G30" s="25" t="str">
        <x:v>1. 浏览器打开专家目录</x:v>
      </x:c>
      <x:c r="H30" s="25" t="str">
        <x:v>专家标签页与新建会话按钮可见；没有 pageerror</x:v>
      </x:c>
      <x:c r="I30" s="25" t="str">
        <x:v>通过</x:v>
      </x:c>
      <x:c r="J30" s="25" t="str">
        <x:v>本条自动化断言全部通过。仅证明这里列出的步骤，不扩展为完整手工用例通过。</x:v>
      </x:c>
      <x:c r="K30" s="25" t="str"/>
      <x:c r="L30" s="30" t="n">
        <x:v>0.383</x:v>
      </x:c>
      <x:c r="M30" s="25" t="str">
        <x:v>2026-09-06 17:21 Asia/Shanghai</x:v>
      </x:c>
      <x:c r="N30" s="25" t="str">
        <x:v>Playwright 最终完整运行；E2E-026；零重试；浏览器 E2E</x:v>
      </x:c>
    </x:row>
    <x:row r="31" ht="118" customHeight="1">
      <x:c r="A31" s="28" t="str">
        <x:v>E2E-027</x:v>
      </x:c>
      <x:c r="B31" s="28" t="str">
        <x:v>UI-001
UI-003</x:v>
      </x:c>
      <x:c r="C31" s="28" t="str">
        <x:v>浏览器 E2E</x:v>
      </x:c>
      <x:c r="D31" s="28" t="str">
        <x:v>P1</x:v>
      </x:c>
      <x:c r="E31" s="28" t="str">
        <x:v>资源页面加载</x:v>
      </x:c>
      <x:c r="F31" s="28" t="str">
        <x:v>独立 PostgreSQL、Keycloak、MinIO 与当前 API/Web；管理员及普通用户均经真实 OIDC 登录</x:v>
      </x:c>
      <x:c r="G31" s="28" t="str">
        <x:v>1. 浏览器打开技能连接器目录</x:v>
      </x:c>
      <x:c r="H31" s="28" t="str">
        <x:v>页面标题可见；没有 pageerror</x:v>
      </x:c>
      <x:c r="I31" s="28" t="str">
        <x:v>通过</x:v>
      </x:c>
      <x:c r="J31" s="28" t="str">
        <x:v>本条自动化断言全部通过。仅证明这里列出的步骤，不扩展为完整手工用例通过。</x:v>
      </x:c>
      <x:c r="K31" s="28" t="str"/>
      <x:c r="L31" s="29" t="n">
        <x:v>0.356</x:v>
      </x:c>
      <x:c r="M31" s="28" t="str">
        <x:v>2026-09-06 17:21 Asia/Shanghai</x:v>
      </x:c>
      <x:c r="N31" s="28" t="str">
        <x:v>Playwright 最终完整运行；E2E-027；零重试；浏览器 E2E</x:v>
      </x:c>
    </x:row>
    <x:row r="32" ht="118" customHeight="1">
      <x:c r="A32" s="25" t="str">
        <x:v>E2E-028</x:v>
      </x:c>
      <x:c r="B32" s="25" t="str">
        <x:v>UI-001</x:v>
      </x:c>
      <x:c r="C32" s="25" t="str">
        <x:v>浏览器 E2E</x:v>
      </x:c>
      <x:c r="D32" s="25" t="str">
        <x:v>P1</x:v>
      </x:c>
      <x:c r="E32" s="25" t="str">
        <x:v>设置页面加载</x:v>
      </x:c>
      <x:c r="F32" s="25" t="str">
        <x:v>独立 PostgreSQL、Keycloak、MinIO 与当前 API/Web；管理员及普通用户均经真实 OIDC 登录</x:v>
      </x:c>
      <x:c r="G32" s="25" t="str">
        <x:v>1. 浏览器打开个人设置</x:v>
      </x:c>
      <x:c r="H32" s="25" t="str">
        <x:v>设置标题可见；没有 pageerror</x:v>
      </x:c>
      <x:c r="I32" s="25" t="str">
        <x:v>通过</x:v>
      </x:c>
      <x:c r="J32" s="25" t="str">
        <x:v>本条自动化断言全部通过。仅证明这里列出的步骤，不扩展为完整手工用例通过。</x:v>
      </x:c>
      <x:c r="K32" s="25" t="str"/>
      <x:c r="L32" s="30" t="n">
        <x:v>0.395</x:v>
      </x:c>
      <x:c r="M32" s="25" t="str">
        <x:v>2026-09-06 17:21 Asia/Shanghai</x:v>
      </x:c>
      <x:c r="N32" s="25" t="str">
        <x:v>Playwright 最终完整运行；E2E-028；零重试；浏览器 E2E</x:v>
      </x:c>
    </x:row>
    <x:row r="33" ht="118" customHeight="1">
      <x:c r="A33" s="28" t="str">
        <x:v>E2E-029</x:v>
      </x:c>
      <x:c r="B33" s="28" t="str">
        <x:v>EXP-001</x:v>
      </x:c>
      <x:c r="C33" s="28" t="str">
        <x:v>浏览器 E2E</x:v>
      </x:c>
      <x:c r="D33" s="28" t="str">
        <x:v>P0</x:v>
      </x:c>
      <x:c r="E33" s="28" t="str">
        <x:v>浏览器创建专家</x:v>
      </x:c>
      <x:c r="F33" s="28" t="str">
        <x:v>独立 PostgreSQL、Keycloak、MinIO 与当前 API/Web；管理员及普通用户均经真实 OIDC 登录</x:v>
      </x:c>
      <x:c r="G33" s="28" t="str">
        <x:v>1. 输入名称、简介、核心能力、流程和输出标准
2. 保存
3. 刷新目录</x:v>
      </x:c>
      <x:c r="H33" s="28" t="str">
        <x:v>返回专家目录；新专家可见</x:v>
      </x:c>
      <x:c r="I33" s="28" t="str">
        <x:v>通过</x:v>
      </x:c>
      <x:c r="J33" s="28" t="str">
        <x:v>本条自动化断言全部通过。仅证明这里列出的步骤，不扩展为完整手工用例通过。</x:v>
      </x:c>
      <x:c r="K33" s="28" t="str"/>
      <x:c r="L33" s="29" t="n">
        <x:v>1.999</x:v>
      </x:c>
      <x:c r="M33" s="28" t="str">
        <x:v>2026-09-06 17:21 Asia/Shanghai</x:v>
      </x:c>
      <x:c r="N33" s="28" t="str">
        <x:v>Playwright 最终完整运行；E2E-029；零重试；浏览器 E2E</x:v>
      </x:c>
    </x:row>
    <x:row r="34" ht="118" customHeight="1">
      <x:c r="A34" s="25" t="str">
        <x:v>E2E-030</x:v>
      </x:c>
      <x:c r="B34" s="25" t="str">
        <x:v>UI-006</x:v>
      </x:c>
      <x:c r="C34" s="25" t="str">
        <x:v>浏览器 E2E</x:v>
      </x:c>
      <x:c r="D34" s="25" t="str">
        <x:v>P1</x:v>
      </x:c>
      <x:c r="E34" s="25" t="str">
        <x:v>移动端会话布局</x:v>
      </x:c>
      <x:c r="F34" s="25" t="str">
        <x:v>独立 PostgreSQL、Keycloak、MinIO 与当前 API/Web；管理员及普通用户均经真实 OIDC 登录</x:v>
      </x:c>
      <x:c r="G34" s="25" t="str">
        <x:v>1. 视口设为 390×844
2. 打开 Sessions
3. 截屏</x:v>
      </x:c>
      <x:c r="H34" s="25" t="str">
        <x:v>移动头部可见；页面无水平溢出</x:v>
      </x:c>
      <x:c r="I34" s="25" t="str">
        <x:v>通过</x:v>
      </x:c>
      <x:c r="J34" s="25" t="str">
        <x:v>本条自动化断言全部通过。仅证明这里列出的步骤，不扩展为完整手工用例通过。</x:v>
      </x:c>
      <x:c r="K34" s="25" t="str"/>
      <x:c r="L34" s="30" t="n">
        <x:v>0.365</x:v>
      </x:c>
      <x:c r="M34" s="25" t="str">
        <x:v>2026-09-06 17:21 Asia/Shanghai</x:v>
      </x:c>
      <x:c r="N34" s="25" t="str">
        <x:v>Playwright 最终完整运行；E2E-030；零重试；浏览器 E2E</x:v>
      </x:c>
    </x:row>
    <x:row r="35" ht="118" customHeight="1">
      <x:c r="A35" s="28" t="str">
        <x:v>E2E-031</x:v>
      </x:c>
      <x:c r="B35" s="28" t="str">
        <x:v>SES-003
RUN-002</x:v>
      </x:c>
      <x:c r="C35" s="28" t="str">
        <x:v>环境门禁</x:v>
      </x:c>
      <x:c r="D35" s="28" t="str">
        <x:v>P0</x:v>
      </x:c>
      <x:c r="E35" s="28" t="str">
        <x:v>真实 Runtime 与流式终态</x:v>
      </x:c>
      <x:c r="F35" s="28" t="str">
        <x:v>Linux + runsc Worker、受验证镜像和对应外部凭据</x:v>
      </x:c>
      <x:c r="G35" s="28" t="str">
        <x:v>1. 需要受验证 Runtime 镜像、模型凭据和 Linux Worker</x:v>
      </x:c>
      <x:c r="H35" s="28" t="str">
        <x:v>应验证真实模型增量输出及唯一终态；本轮环境阻塞</x:v>
      </x:c>
      <x:c r="I35" s="28" t="str">
        <x:v>阻塞</x:v>
      </x:c>
      <x:c r="J35" s="28" t="str">
        <x:v>未执行：缺少 Linux + runsc Worker、已验证 Runtime Digest 或真实外部凭据。Skip 不计为通过。</x:v>
      </x:c>
      <x:c r="K35" s="28" t="str"/>
      <x:c r="L35" s="29" t="n">
        <x:v>0.001</x:v>
      </x:c>
      <x:c r="M35" s="28" t="str">
        <x:v>2026-09-06 17:21 Asia/Shanghai</x:v>
      </x:c>
      <x:c r="N35" s="28" t="str">
        <x:v>环境门禁记录，无模型执行证据</x:v>
      </x:c>
    </x:row>
    <x:row r="36" ht="118" customHeight="1">
      <x:c r="A36" s="25" t="str">
        <x:v>E2E-032</x:v>
      </x:c>
      <x:c r="B36" s="25" t="str">
        <x:v>SCH-001
SCH-011
WF-007</x:v>
      </x:c>
      <x:c r="C36" s="25" t="str">
        <x:v>环境门禁</x:v>
      </x:c>
      <x:c r="D36" s="25" t="str">
        <x:v>P0</x:v>
      </x:c>
      <x:c r="E36" s="25" t="str">
        <x:v>Worker 定时与串行</x:v>
      </x:c>
      <x:c r="F36" s="25" t="str">
        <x:v>Linux + runsc Worker、受验证镜像和对应外部凭据</x:v>
      </x:c>
      <x:c r="G36" s="25" t="str">
        <x:v>1. 需要 Worker 和可控调度时钟</x:v>
      </x:c>
      <x:c r="H36" s="25" t="str">
        <x:v>应验证定时触发、重复扫描和串行锁；本轮环境阻塞</x:v>
      </x:c>
      <x:c r="I36" s="25" t="str">
        <x:v>阻塞</x:v>
      </x:c>
      <x:c r="J36" s="25" t="str">
        <x:v>未执行：缺少 Linux + runsc Worker、已验证 Runtime Digest 或真实外部凭据。Skip 不计为通过。</x:v>
      </x:c>
      <x:c r="K36" s="25" t="str"/>
      <x:c r="L36" s="30" t="n">
        <x:v>0</x:v>
      </x:c>
      <x:c r="M36" s="25" t="str">
        <x:v>2026-09-06 17:21 Asia/Shanghai</x:v>
      </x:c>
      <x:c r="N36" s="25" t="str">
        <x:v>环境门禁记录，无模型执行证据</x:v>
      </x:c>
    </x:row>
    <x:row r="37" ht="118" customHeight="1">
      <x:c r="A37" s="28" t="str">
        <x:v>E2E-033</x:v>
      </x:c>
      <x:c r="B37" s="28" t="str">
        <x:v>CLI-010
APR-001
APR-017</x:v>
      </x:c>
      <x:c r="C37" s="28" t="str">
        <x:v>环境门禁</x:v>
      </x:c>
      <x:c r="D37" s="28" t="str">
        <x:v>P0</x:v>
      </x:c>
      <x:c r="E37" s="28" t="str">
        <x:v>真实 CLI 授权和审批恢复</x:v>
      </x:c>
      <x:c r="F37" s="28" t="str">
        <x:v>Linux + runsc Worker、受验证镜像和对应外部凭据</x:v>
      </x:c>
      <x:c r="G37" s="28" t="str">
        <x:v>1. 需要真实授权、CLI Bundle 和 Worker</x:v>
      </x:c>
      <x:c r="H37" s="28" t="str">
        <x:v>应验证授权、命令审批和恢复；本轮环境阻塞</x:v>
      </x:c>
      <x:c r="I37" s="28" t="str">
        <x:v>阻塞</x:v>
      </x:c>
      <x:c r="J37" s="28" t="str">
        <x:v>未执行：缺少 Linux + runsc Worker、已验证 Runtime Digest 或真实外部凭据。Skip 不计为通过。</x:v>
      </x:c>
      <x:c r="K37" s="28" t="str"/>
      <x:c r="L37" s="29" t="n">
        <x:v>0</x:v>
      </x:c>
      <x:c r="M37" s="28" t="str">
        <x:v>2026-09-06 17:21 Asia/Shanghai</x:v>
      </x:c>
      <x:c r="N37" s="28" t="str">
        <x:v>环境门禁记录，无模型执行证据</x:v>
      </x:c>
    </x:row>
    <x:row r="38" ht="118" customHeight="1">
      <x:c r="A38" s="25" t="str">
        <x:v>E2E-034</x:v>
      </x:c>
      <x:c r="B38" s="25" t="str">
        <x:v>SEC-008
SEC-009
SEC-010
OPS-009</x:v>
      </x:c>
      <x:c r="C38" s="25" t="str">
        <x:v>环境门禁</x:v>
      </x:c>
      <x:c r="D38" s="25" t="str">
        <x:v>P0</x:v>
      </x:c>
      <x:c r="E38" s="25" t="str">
        <x:v>Linux Sandbox 验收</x:v>
      </x:c>
      <x:c r="F38" s="25" t="str">
        <x:v>Linux + runsc Worker、受验证镜像和对应外部凭据</x:v>
      </x:c>
      <x:c r="G38" s="25" t="str">
        <x:v>1. 需要 Linux + runsc 和 RepoDigest 验收环境</x:v>
      </x:c>
      <x:c r="H38" s="25" t="str">
        <x:v>应先运行 Production Preflight 再做隔离验收；本轮环境阻塞</x:v>
      </x:c>
      <x:c r="I38" s="25" t="str">
        <x:v>阻塞</x:v>
      </x:c>
      <x:c r="J38" s="25" t="str">
        <x:v>未执行：缺少 Linux + runsc Worker、已验证 Runtime Digest 或真实外部凭据。Skip 不计为通过。</x:v>
      </x:c>
      <x:c r="K38" s="25" t="str"/>
      <x:c r="L38" s="30" t="n">
        <x:v>0</x:v>
      </x:c>
      <x:c r="M38" s="25" t="str">
        <x:v>2026-09-06 17:21 Asia/Shanghai</x:v>
      </x:c>
      <x:c r="N38" s="25" t="str">
        <x:v>环境门禁记录，无模型执行证据</x:v>
      </x:c>
    </x:row>
    <x:row r="39" ht="118" customHeight="1">
      <x:c r="A39" s="28" t="str">
        <x:v>E2E-035</x:v>
      </x:c>
      <x:c r="B39" s="28" t="str">
        <x:v>WF-001</x:v>
      </x:c>
      <x:c r="C39" s="28" t="str">
        <x:v>浏览器 E2E</x:v>
      </x:c>
      <x:c r="D39" s="28" t="str">
        <x:v>P0</x:v>
      </x:c>
      <x:c r="E39" s="28" t="str">
        <x:v>浏览器创建工作流</x:v>
      </x:c>
      <x:c r="F39" s="28" t="str">
        <x:v>独立 PostgreSQL、Keycloak、MinIO 与当前 API/Web；管理员及普通用户均经真实 OIDC 登录</x:v>
      </x:c>
      <x:c r="G39" s="28" t="str">
        <x:v>1. 打开新建弹窗
2. 填名称和目标
3. 提交
4. 刷新详情</x:v>
      </x:c>
      <x:c r="H39" s="28" t="str">
        <x:v>详情 URL 含工作流 ID；名称保存成功</x:v>
      </x:c>
      <x:c r="I39" s="28" t="str">
        <x:v>通过</x:v>
      </x:c>
      <x:c r="J39" s="28" t="str">
        <x:v>本条自动化断言全部通过。仅证明这里列出的步骤，不扩展为完整手工用例通过。</x:v>
      </x:c>
      <x:c r="K39" s="28" t="str"/>
      <x:c r="L39" s="29" t="n">
        <x:v>2.028</x:v>
      </x:c>
      <x:c r="M39" s="28" t="str">
        <x:v>2026-09-06 17:21 Asia/Shanghai</x:v>
      </x:c>
      <x:c r="N39" s="28" t="str">
        <x:v>Playwright 最终完整运行；E2E-035；零重试；浏览器 E2E</x:v>
      </x:c>
    </x:row>
    <x:row r="40" ht="118" customHeight="1">
      <x:c r="A40" s="25" t="str">
        <x:v>E2E-036</x:v>
      </x:c>
      <x:c r="B40" s="25" t="str">
        <x:v>SES-001</x:v>
      </x:c>
      <x:c r="C40" s="25" t="str">
        <x:v>浏览器 E2E</x:v>
      </x:c>
      <x:c r="D40" s="25" t="str">
        <x:v>P0</x:v>
      </x:c>
      <x:c r="E40" s="25" t="str">
        <x:v>浏览器立即新建会话</x:v>
      </x:c>
      <x:c r="F40" s="25" t="str">
        <x:v>独立 PostgreSQL、Keycloak、MinIO 与当前 API/Web；管理员及普通用户均经真实 OIDC 登录</x:v>
      </x:c>
      <x:c r="G40" s="25" t="str">
        <x:v>1. 读取会话数量
2. 点击新建会话
3. 检查列表和编辑器</x:v>
      </x:c>
      <x:c r="H40" s="25" t="str">
        <x:v>未发送消息前已增加一条会话；编辑器可见</x:v>
      </x:c>
      <x:c r="I40" s="25" t="str">
        <x:v>通过</x:v>
      </x:c>
      <x:c r="J40" s="25" t="str">
        <x:v>本条自动化断言全部通过。仅证明这里列出的步骤，不扩展为完整手工用例通过。</x:v>
      </x:c>
      <x:c r="K40" s="25" t="str"/>
      <x:c r="L40" s="30" t="n">
        <x:v>0.44</x:v>
      </x:c>
      <x:c r="M40" s="25" t="str">
        <x:v>2026-09-06 17:21 Asia/Shanghai</x:v>
      </x:c>
      <x:c r="N40" s="25" t="str">
        <x:v>Playwright 最终完整运行；E2E-036；零重试；浏览器 E2E</x:v>
      </x:c>
    </x:row>
    <x:row r="41" ht="118" customHeight="1">
      <x:c r="A41" s="28" t="str">
        <x:v>E2E-037</x:v>
      </x:c>
      <x:c r="B41" s="28" t="str">
        <x:v>SKL-002
SKL-013
SKL-017</x:v>
      </x:c>
      <x:c r="C41" s="28" t="str">
        <x:v>API 集成 E2E</x:v>
      </x:c>
      <x:c r="D41" s="28" t="str">
        <x:v>P0</x:v>
      </x:c>
      <x:c r="E41" s="28" t="str">
        <x:v>ZIP Skill 管理</x:v>
      </x:c>
      <x:c r="F41" s="28" t="str">
        <x:v>独立 PostgreSQL、Keycloak、MinIO 与当前 API/Web；管理员及普通用户均经真实 OIDC 登录</x:v>
      </x:c>
      <x:c r="G41" s="28" t="str">
        <x:v>1. 上传有效 ZIP
2. 读取 SKILL.md
3. 跨用户访问
4. 获取删除影响 Token 并删除</x:v>
      </x:c>
      <x:c r="H41" s="28" t="str">
        <x:v>摘要格式有效；文档正确；越权及删除后读取均 HTTP 404</x:v>
      </x:c>
      <x:c r="I41" s="28" t="str">
        <x:v>通过</x:v>
      </x:c>
      <x:c r="J41" s="28" t="str">
        <x:v>本条自动化断言全部通过。仅证明这里列出的步骤，不扩展为完整手工用例通过。</x:v>
      </x:c>
      <x:c r="K41" s="28" t="str"/>
      <x:c r="L41" s="29" t="n">
        <x:v>0.033</x:v>
      </x:c>
      <x:c r="M41" s="28" t="str">
        <x:v>2026-09-06 17:21 Asia/Shanghai</x:v>
      </x:c>
      <x:c r="N41" s="28" t="str">
        <x:v>Playwright 最终完整运行；E2E-037；零重试；API 集成 E2E</x:v>
      </x:c>
    </x:row>
    <x:row r="42" ht="118" customHeight="1">
      <x:c r="A42" s="25" t="str">
        <x:v>E2E-038</x:v>
      </x:c>
      <x:c r="B42" s="25" t="str">
        <x:v>SKL-007</x:v>
      </x:c>
      <x:c r="C42" s="25" t="str">
        <x:v>API 集成 E2E</x:v>
      </x:c>
      <x:c r="D42" s="25" t="str">
        <x:v>P0</x:v>
      </x:c>
      <x:c r="E42" s="25" t="str">
        <x:v>ZIP 路径穿越拒绝</x:v>
      </x:c>
      <x:c r="F42" s="25" t="str">
        <x:v>独立 PostgreSQL、Keycloak、MinIO 与当前 API/Web；管理员及普通用户均经真实 OIDC 登录</x:v>
      </x:c>
      <x:c r="G42" s="25" t="str">
        <x:v>1. 上传包含 ../escape.txt 的 ZIP</x:v>
      </x:c>
      <x:c r="H42" s="25" t="str">
        <x:v>HTTP 422</x:v>
      </x:c>
      <x:c r="I42" s="25" t="str">
        <x:v>通过</x:v>
      </x:c>
      <x:c r="J42" s="25" t="str">
        <x:v>本条自动化断言全部通过。仅证明这里列出的步骤，不扩展为完整手工用例通过。</x:v>
      </x:c>
      <x:c r="K42" s="25" t="str"/>
      <x:c r="L42" s="30" t="n">
        <x:v>0.003</x:v>
      </x:c>
      <x:c r="M42" s="25" t="str">
        <x:v>2026-09-06 17:21 Asia/Shanghai</x:v>
      </x:c>
      <x:c r="N42" s="25" t="str">
        <x:v>Playwright 最终完整运行；E2E-038；零重试；API 集成 E2E</x:v>
      </x:c>
    </x:row>
    <x:row r="43" ht="118" customHeight="1">
      <x:c r="A43" s="28" t="str">
        <x:v>E2E-039</x:v>
      </x:c>
      <x:c r="B43" s="28" t="str">
        <x:v>MCP-001
MCP-011</x:v>
      </x:c>
      <x:c r="C43" s="28" t="str">
        <x:v>API 集成 E2E</x:v>
      </x:c>
      <x:c r="D43" s="28" t="str">
        <x:v>P0</x:v>
      </x:c>
      <x:c r="E43" s="28" t="str">
        <x:v>MCP 合同请求管理</x:v>
      </x:c>
      <x:c r="F43" s="28" t="str">
        <x:v>独立 PostgreSQL、Keycloak、MinIO 与当前 API/Web；管理员及普通用户均经真实 OIDC 登录</x:v>
      </x:c>
      <x:c r="G43" s="28" t="str">
        <x:v>1. 以 mcp_connector 字段创建 HTTPS 配置
2. 查列表
3. 取得影响 Token
4. 删除</x:v>
      </x:c>
      <x:c r="H43" s="28" t="str">
        <x:v>配置未测试；列表包含配置；删除成功；未连接外部 MCP</x:v>
      </x:c>
      <x:c r="I43" s="28" t="str">
        <x:v>通过</x:v>
      </x:c>
      <x:c r="J43" s="28" t="str">
        <x:v>本条自动化断言全部通过。仅证明这里列出的步骤，不扩展为完整手工用例通过。</x:v>
      </x:c>
      <x:c r="K43" s="28" t="str"/>
      <x:c r="L43" s="29" t="n">
        <x:v>0.021</x:v>
      </x:c>
      <x:c r="M43" s="28" t="str">
        <x:v>2026-09-06 17:21 Asia/Shanghai</x:v>
      </x:c>
      <x:c r="N43" s="28" t="str">
        <x:v>Playwright 最终完整运行；E2E-039；零重试；API 集成 E2E</x:v>
      </x:c>
    </x:row>
    <x:row r="44" ht="118" customHeight="1">
      <x:c r="A44" s="25" t="str">
        <x:v>E2E-040</x:v>
      </x:c>
      <x:c r="B44" s="25" t="str">
        <x:v>SEL-022</x:v>
      </x:c>
      <x:c r="C44" s="25" t="str">
        <x:v>API 集成 E2E</x:v>
      </x:c>
      <x:c r="D44" s="25" t="str">
        <x:v>P0</x:v>
      </x:c>
      <x:c r="E44" s="25" t="str">
        <x:v>会话选择隔离</x:v>
      </x:c>
      <x:c r="F44" s="25" t="str">
        <x:v>独立 PostgreSQL、Keycloak、MinIO 与当前 API/Web；管理员及普通用户均经真实 OIDC 登录</x:v>
      </x:c>
      <x:c r="G44" s="25" t="str">
        <x:v>1. 创建会话 A/B 和专家
2. 仅 A 选择专家
3. 读取 B 的选择</x:v>
      </x:c>
      <x:c r="H44" s="25" t="str">
        <x:v>A 为所选专家；B 无专家</x:v>
      </x:c>
      <x:c r="I44" s="25" t="str">
        <x:v>通过</x:v>
      </x:c>
      <x:c r="J44" s="25" t="str">
        <x:v>本条自动化断言全部通过。仅证明这里列出的步骤，不扩展为完整手工用例通过。</x:v>
      </x:c>
      <x:c r="K44" s="25" t="str"/>
      <x:c r="L44" s="30" t="n">
        <x:v>0.024</x:v>
      </x:c>
      <x:c r="M44" s="25" t="str">
        <x:v>2026-09-06 17:21 Asia/Shanghai</x:v>
      </x:c>
      <x:c r="N44" s="25" t="str">
        <x:v>Playwright 最终完整运行；E2E-040；零重试；API 集成 E2E</x:v>
      </x:c>
    </x:row>
    <x:row r="45" ht="118" customHeight="1">
      <x:c r="A45" s="28" t="str">
        <x:v>E2E-041</x:v>
      </x:c>
      <x:c r="B45" s="28" t="str">
        <x:v>CRD-029
CRD-027</x:v>
      </x:c>
      <x:c r="C45" s="28" t="str">
        <x:v>API 集成 E2E</x:v>
      </x:c>
      <x:c r="D45" s="28" t="str">
        <x:v>P0</x:v>
      </x:c>
      <x:c r="E45" s="28" t="str">
        <x:v>作废兑换码不可兑换</x:v>
      </x:c>
      <x:c r="F45" s="28" t="str">
        <x:v>独立 PostgreSQL、Keycloak、MinIO 与当前 API/Web；管理员及普通用户均经真实 OIDC 登录</x:v>
      </x:c>
      <x:c r="G45" s="28" t="str">
        <x:v>1. 生成兑换码
2. 管理员作废
3. 用户兑换
4. 重新查余额</x:v>
      </x:c>
      <x:c r="H45" s="28" t="str">
        <x:v>兑换 HTTP 422；余额不变</x:v>
      </x:c>
      <x:c r="I45" s="28" t="str">
        <x:v>通过</x:v>
      </x:c>
      <x:c r="J45" s="28" t="str">
        <x:v>本条自动化断言全部通过。仅证明这里列出的步骤，不扩展为完整手工用例通过。</x:v>
      </x:c>
      <x:c r="K45" s="28" t="str"/>
      <x:c r="L45" s="29" t="n">
        <x:v>0.027</x:v>
      </x:c>
      <x:c r="M45" s="28" t="str">
        <x:v>2026-09-06 17:21 Asia/Shanghai</x:v>
      </x:c>
      <x:c r="N45" s="28" t="str">
        <x:v>Playwright 最终完整运行；E2E-041；零重试；API 集成 E2E</x:v>
      </x:c>
    </x:row>
    <x:row r="46" ht="118" customHeight="1">
      <x:c r="A46" s="25" t="str">
        <x:v>E2E-042</x:v>
      </x:c>
      <x:c r="B46" s="25" t="str">
        <x:v>OPS-001</x:v>
      </x:c>
      <x:c r="C46" s="25" t="str">
        <x:v>API 集成 E2E</x:v>
      </x:c>
      <x:c r="D46" s="25" t="str">
        <x:v>P0</x:v>
      </x:c>
      <x:c r="E46" s="25" t="str">
        <x:v>开发代理路径回归</x:v>
      </x:c>
      <x:c r="F46" s="25" t="str">
        <x:v>独立 PostgreSQL、Keycloak、MinIO 与当前 API/Web；管理员及普通用户均经真实 OIDC 登录</x:v>
      </x:c>
      <x:c r="G46" s="25" t="str">
        <x:v>1. 经 Web 代理请求 healthz、readyz 和已认证 me</x:v>
      </x:c>
      <x:c r="H46" s="25" t="str">
        <x:v>三个接口均 HTTP 200</x:v>
      </x:c>
      <x:c r="I46" s="25" t="str">
        <x:v>通过</x:v>
      </x:c>
      <x:c r="J46" s="25" t="str">
        <x:v>本条自动化断言全部通过。仅证明这里列出的步骤，不扩展为完整手工用例通过。</x:v>
      </x:c>
      <x:c r="K46" s="25" t="str"/>
      <x:c r="L46" s="30" t="n">
        <x:v>0.01</x:v>
      </x:c>
      <x:c r="M46" s="25" t="str">
        <x:v>2026-09-06 17:21 Asia/Shanghai</x:v>
      </x:c>
      <x:c r="N46" s="25" t="str">
        <x:v>Playwright 最终完整运行；E2E-042；零重试；API 集成 E2E</x:v>
      </x:c>
    </x:row>
    <x:row r="47" ht="118" customHeight="1">
      <x:c r="A47" s="28" t="str">
        <x:v>E2E-043</x:v>
      </x:c>
      <x:c r="B47" s="28" t="str">
        <x:v>MCP-001
EXP-014</x:v>
      </x:c>
      <x:c r="C47" s="28" t="str">
        <x:v>浏览器 E2E</x:v>
      </x:c>
      <x:c r="D47" s="28" t="str">
        <x:v>P0</x:v>
      </x:c>
      <x:c r="E47" s="28" t="str">
        <x:v>浏览器新增 MCP</x:v>
      </x:c>
      <x:c r="F47" s="28" t="str">
        <x:v>独立 PostgreSQL、Keycloak、MinIO 与当前 API/Web；管理员及普通用户均经真实 OIDC 登录</x:v>
      </x:c>
      <x:c r="G47" s="28" t="str">
        <x:v>1. 资源页切换连接器
2. 新增 MCP
3. 填名称和 HTTPS URL
4. 保存</x:v>
      </x:c>
      <x:c r="H47" s="28" t="str">
        <x:v>创建请求 HTTP 200；目录可见新增 MCP</x:v>
      </x:c>
      <x:c r="I47" s="28" t="str">
        <x:v>失败</x:v>
      </x:c>
      <x:c r="J47" s="28" t="str">
        <x:v>失败：浏览器新增 MCP 返回 HTTP 400。前端发送 mcp_server，后端合同接受 mcp_connector。</x:v>
      </x:c>
      <x:c r="K47" s="28" t="str">
        <x:v>BUG-E2E-002</x:v>
      </x:c>
      <x:c r="L47" s="29" t="n">
        <x:v>1.592</x:v>
      </x:c>
      <x:c r="M47" s="28" t="str">
        <x:v>2026-09-06 17:21 Asia/Shanghai</x:v>
      </x:c>
      <x:c r="N47" s="28" t="str">
        <x:v>Playwright 最终完整运行；E2E-043；零重试；浏览器 E2E</x:v>
      </x:c>
    </x:row>
    <x:row r="48" ht="118" customHeight="1">
      <x:c r="A48" s="25" t="str">
        <x:v>E2E-044</x:v>
      </x:c>
      <x:c r="B48" s="25" t="str">
        <x:v>TEAM-001
TEAM-006</x:v>
      </x:c>
      <x:c r="C48" s="25" t="str">
        <x:v>浏览器 E2E</x:v>
      </x:c>
      <x:c r="D48" s="25" t="str">
        <x:v>P0</x:v>
      </x:c>
      <x:c r="E48" s="25" t="str">
        <x:v>浏览器重新保存团队</x:v>
      </x:c>
      <x:c r="F48" s="25" t="str">
        <x:v>独立 PostgreSQL、Keycloak、MinIO 与当前 API/Web；管理员及普通用户均经真实 OIDC 登录</x:v>
      </x:c>
      <x:c r="G48" s="25" t="str">
        <x:v>1. 建立两个专家和有序团队
2. 打开团队编辑页
3. 不变更成员直接保存</x:v>
      </x:c>
      <x:c r="H48" s="25" t="str">
        <x:v>PATCH HTTP 200；返回专家团队目录</x:v>
      </x:c>
      <x:c r="I48" s="25" t="str">
        <x:v>失败</x:v>
      </x:c>
      <x:c r="J48" s="25" t="str">
        <x:v>失败：重新打开团队后保存返回 HTTP 422。响应中的 expert.id 未转换为表单需要的 expert_id，成员关联丢失。</x:v>
      </x:c>
      <x:c r="K48" s="25" t="str">
        <x:v>BUG-E2E-003</x:v>
      </x:c>
      <x:c r="L48" s="30" t="n">
        <x:v>1.399</x:v>
      </x:c>
      <x:c r="M48" s="25" t="str">
        <x:v>2026-09-06 17:21 Asia/Shanghai</x:v>
      </x:c>
      <x:c r="N48" s="25" t="str">
        <x:v>Playwright 最终完整运行；E2E-044；零重试；浏览器 E2E</x:v>
      </x:c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</x:row>
    <x:row r="51" ht="35" customHeight="1">
      <x:c r="A51" s="27" t="str">
        <x:v>总记录</x:v>
      </x:c>
      <x:c r="B51" s="27" t="str">
        <x:v>通过</x:v>
      </x:c>
      <x:c r="C51" s="27" t="str">
        <x:v>失败</x:v>
      </x:c>
      <x:c r="D51" s="27" t="str">
        <x:v>环境阻塞</x:v>
      </x:c>
      <x:c r="E51" s="27" t="str">
        <x:v>实际执行</x:v>
      </x:c>
      <x:c r="F51" s="27" t="str">
        <x:v>执行阶段耗时（秒）</x:v>
      </x:c>
      <x:c r="G51" s="21"/>
      <x:c r="H51" s="21"/>
      <x:c r="I51" s="21"/>
      <x:c r="J51" s="21"/>
      <x:c r="K51" s="21"/>
      <x:c r="L51" s="21"/>
      <x:c r="M51" s="21"/>
      <x:c r="N51" s="21"/>
    </x:row>
    <x:row r="52">
      <x:c r="A52" s="21" t="n">
        <x:f>COUNTA(A5:A48)</x:f>
        <x:v>44</x:v>
      </x:c>
      <x:c r="B52" s="21" t="n">
        <x:f>COUNTIF(I5:I48,"通过")</x:f>
        <x:v>37</x:v>
      </x:c>
      <x:c r="C52" s="21" t="n">
        <x:f>COUNTIF(I5:I48,"失败")</x:f>
        <x:v>3</x:v>
      </x:c>
      <x:c r="D52" s="21" t="n">
        <x:f>COUNTIF(I5:I48,"阻塞")</x:f>
        <x:v>4</x:v>
      </x:c>
      <x:c r="E52" s="21" t="n">
        <x:f>B52+C52</x:f>
        <x:v>40</x:v>
      </x:c>
      <x:c r="F52" s="33" t="n">
        <x:v>22.677407</x:v>
      </x:c>
      <x:c r="G52" s="21"/>
      <x:c r="H52" s="21"/>
      <x:c r="I52" s="21"/>
      <x:c r="J52" s="21"/>
      <x:c r="K52" s="21"/>
      <x:c r="L52" s="21"/>
      <x:c r="M52" s="21"/>
      <x:c r="N52" s="21"/>
    </x:row>
  </x:sheetData>
  <x:conditionalFormatting sqref="I5:I48">
    <x:cfRule type="containsText" dxfId="4" priority="1" operator="containsText" text="通过"/>
    <x:cfRule type="containsText" dxfId="5" priority="2" operator="containsText" text="失败"/>
    <x:cfRule type="containsText" dxfId="6" priority="3" operator="containsText" text="阻塞"/>
  </x:conditionalFormatting>
  <x:dataValidations count="1">
    <x:dataValidation type="list" sqref="I5:I48">
      <x:formula1>"通过,失败,阻塞,未执行"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f34b1472754800"/>
  </x:tableParts>
</x:worksheet>
</file>